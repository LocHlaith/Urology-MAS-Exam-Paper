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activeTab="1"/>
  </bookViews>
  <sheets>
    <sheet name="P" sheetId="1" r:id="rId1"/>
    <sheet name="P被筛" sheetId="11" r:id="rId2"/>
    <sheet name="M" sheetId="4" r:id="rId3"/>
    <sheet name="M被筛" sheetId="5" r:id="rId4"/>
    <sheet name="图灵测试" sheetId="6" r:id="rId5"/>
    <sheet name="P分题型" sheetId="7" r:id="rId6"/>
    <sheet name="M汇总分题型" sheetId="8" r:id="rId7"/>
    <sheet name="P布鲁姆分类" sheetId="9" r:id="rId8"/>
    <sheet name="M汇总布鲁姆分类"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<sst xmlns="http://schemas.openxmlformats.org/spreadsheetml/2006/main" count="1309" uniqueCount="398">
  <si>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</si>
  <si>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</si>
  <si>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</si>
  <si>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</si>
  <si>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</si>
  <si>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</si>
  <si>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</si>
  <si>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</si>
  <si>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</si>
  <si>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</si>
  <si>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</si>
  <si>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</si>
  <si>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</si>
  <si>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</si>
  <si>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</si>
  <si>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</si>
  <si>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</si>
  <si>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</si>
  <si>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</si>
  <si>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</si>
  <si>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</si>
  <si>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</si>
  <si>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</si>
  <si>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</si>
  <si>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</si>
  <si>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</si>
  <si>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</si>
  <si>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</si>
  <si>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</si>
  <si>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</si>
  <si>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否</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</si>
  <si>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</si>
  <si>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</si>
  <si>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</si>
  <si>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</si>
  <si>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</si>
  <si>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</si>
  <si>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</si>
  <si>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</si>
  <si>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是</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</si>
  <si>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</si>
  <si>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</si>
  <si>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</si>
  <si>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</si>
  <si>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</si>
  <si>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</si>
  <si>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</si>
  <si>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</si>
  <si>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</si>
  <si>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</si>
  <si>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</si>
  <si>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</si>
  <si>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</si>
  <si>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</si>
  <si>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</si>
  <si>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</si>
  <si>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</si>
  <si>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</si>
  <si>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</si>
  <si>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</si>
  <si>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</si>
  <si>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</si>
  <si>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</si>
  <si>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</si>
  <si>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</si>
  <si>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</si>
  <si>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</si>
  <si>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</si>
  <si>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</si>
  <si>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</si>
  <si>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</si>
  <si>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</si>
  <si>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</si>
  <si>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</si>
  <si>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</si>
  <si>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</si>
  <si>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</si>
  <si>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</si>
  <si>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</si>
  <si>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</si>
  <si>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</si>
  <si>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A3,4/B</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</si>
  <si>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</si>
  <si>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</si>
  <si>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</si>
  <si>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</si>
  <si>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</si>
  <si>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</si>
  <si>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</si>
  <si>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</si>
  <si>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</si>
  <si>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</si>
  <si>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</si>
  <si>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</si>
  <si>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</si>
  <si>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</si>
  <si>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</si>
  <si>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</si>
  <si>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</si>
  <si>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</si>
  <si>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</si>
  <si>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</si>
  <si>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</si>
  <si>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</si>
  <si>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</si>
  <si>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</si>
  <si>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</si>
  <si>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</si>
  <si>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</si>
  <si>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</si>
  <si>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</si>
  <si>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</si>
  <si>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</si>
  <si>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</si>
  <si>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</si>
  <si>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</si>
  <si>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</si>
  <si>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X</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</si>
  <si>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</si>
  <si>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</si>
  <si>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</si>
  <si>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</si>
  <si>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</si>
  <si>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</si>
  <si>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</si>
  <si>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</si>
  <si>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</si>
  <si>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</si>
  <si>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</si>
  <si>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</si>
  <si>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</si>
  <si>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</si>
  <si>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</si>
  <si>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</si>
  <si>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正确率：26/50</t>
  </si>
  <si>
    <t>A1:4/7</t>
  </si>
  <si>
    <t>A2:8/18</t>
  </si>
  <si>
    <t>A3-4:7/14</t>
  </si>
  <si>
    <t>B:1/3</t>
  </si>
  <si>
    <t>X:6/8</t>
  </si>
  <si>
    <t>M卷</t>
  </si>
  <si>
    <t>是否AI</t>
  </si>
  <si>
    <t>A1</t>
  </si>
  <si>
    <t>18.（2分）前列腺癌的筛查方式是?（A）【单选题】
A.直肠指诊+PSA
B.前列腺MRI
C.前列腺B超
D.前列腺CT
E.前列腺穿刺活检</t>
  </si>
  <si>
    <t>考点还原：泌尿系统（含男性生殖系统）-泌尿系统外伤-前列腺癌的诊断
正确答案：A
答案解析：前列腺癌目前国际公认的筛查“黄金组合”是 PSA检测 + 直肠指诊。前列腺MRI属于影像学诊断，多用于穿刺前的精准定位及局部分期，不作为常规筛查。前列腺B超常用于测量前列腺体积或辅助穿刺引导，对早期癌灶的筛查敏感度不如MRI，不单独用于筛查。前列腺CT对软组织分辨率低，难以发现早期前列腺癌，主要用于评估有无淋巴结转移（分期）。前列腺穿刺属于确诊手段（金标准），有创伤性，仅用于筛查或影像学高度怀疑后的病理证实。</t>
  </si>
  <si>
    <t>19.（2分）急性肾衰竭少尿期患者最常出现的酸碱失衡是?（A）【单选题】
A.代谢性酸中毒
B.呼吸性酸中毒
C.代谢性碱中毒
D.呼吸性碱中毒
E.呼吸性酸中毒合并代谢性碱中毒</t>
  </si>
  <si>
    <t>考点还原：泌尿系统(含男性生殖系统)-肾功能不全-急性肾损伤(急性肾衰竭)-急性肾小管坏死的治疗
正确答案：A
答案解析：急性肾衰竭少尿期（维持期）常常伴代谢性酸中毒，主要因为肾排酸能力减低，同时又因合并高分解代谢状态，使酸性产物明显增多(A对)。呼吸性酸中毒(B错)、呼吸性酸中毒合并代谢性碱中毒(E错)见于肺部病变、胸廓、胸膜腔病变或呼吸道阻塞等。代谢性碱中毒见于呕吐、长期胃肠吸引术、幽门梗阻等损失大量胃液后，也可由缺钾引起(C错)。呼吸性碱中毒见于癔症、严重贫血、心力衰竭、高热、使用呼吸兴奋药物等过度通气(D错)。</t>
  </si>
  <si>
    <t>20.（2分）肾外伤患者禁止进行下列哪项检查?（C）【单选题】
A.B超
B.CT
C.逆行肾盂造影
D.动脉造影
E.静脉尿路造影</t>
  </si>
  <si>
    <t>考点还原：泌尿系统（含男性生殖系统）-泌尿系统外伤-肾外伤的诊断
正确答案：C
答案解析：肾外伤时B超主要用于提示肾损伤的部位以及判断有无包膜下和肾周血肿，为初步检查（A对）。CT平扫及增强可显示肾实质裂伤程度、尿外渗和血肿范围，为首选检查（B对）。动脉造影可判断有无肾血管的损伤（D对）。静脉尿路造影可了解肾损伤患者的肾脏功能以及尿路损伤情况（E对）。逆行肾盂造影禁用于泌尿系统损伤，可能加重损伤或引发造影剂外渗（C错，为本题正确答案）。</t>
  </si>
  <si>
    <t>44.（2分）患者男，47岁。发现左侧阴囊内肿物4年，逐渐增大。肿物呈球形，表面光滑，有囊性感，无压痛，触不到睾丸和附睾。查体：透光试验阳性。平卧后肿物无消失或缩小。B超可见液性暗区，最可能的诊断是（D）【单选题】
A.腹股沟斜疝
B.附睾炎
C.精索囊肿
D.睾丸鞘膜积液
E.睾丸肿瘤</t>
  </si>
  <si>
    <t>考点还原：泌尿系统（含男性生殖系统）-泌尿、男性生殖系统先天性畸形及其他疾病-鞘膜积液的诊断与鉴别诊断
正确答案：D
答案解析：患者出现左侧阴囊内肿物4年，逐渐增大。肿物呈球形，表面光滑，有囊性感，无压痛，触不到睾丸和附睾，透光试验阳性（符合睾丸鞘膜积液常见临床表现），B超示液性暗区（符合睾丸鞘膜积液影像学检查表现），平卧后无缩小或消失，综上所述，该患者最可能的诊断是睾丸鞘膜积液（D对）。腹股沟斜疝（A错）的基本临床表现是腹股沟区有一突出的肿块，用手指紧压腹股沟管深环，让病人起立并咳嗽斜疝并不会出现，但一旦移去手指，则可见疝块由外上向内下鼓出。附睾炎（B错）可有附睾睾丸及精索增大或增粗，肿大以附睾头、尾部为甚，平卧后不会消失。睾丸肿瘤（E错）时睾丸肿胀或变硬，透光试验阴性，平卧不会消失。</t>
  </si>
  <si>
    <t>45.（2分）患者男性，67岁。主诉进行性排尿困难3年，伴尿滴沥尿不尽。直肠指检提示前列腺增大，查血清PSA：1.6ng/ml。泌尿系统B超查前列腺大小为4.9×4.8×4.6cm，残余尿量55ml。患者目前最佳治疗措施是?（B）【单选题】
A.根治性前列腺切除术
B.经尿道前列腺电切除术
C.根治性前列腺切除术+盆腔淋巴结清扫
D.前列腺部分切除术
E.激素治疗</t>
  </si>
  <si>
    <t>泌尿系统（含男性生殖系统）-泌尿系统梗阻-前列腺增生的治疗
正确答案：B
答案解析：患者为老年男性，临床表现为进行性排尿困难、尿滴沥、尿不尽，结合直肠指检前列腺增大及B超示前列腺体积增大、残余尿量55ml，临床诊断为良性前列腺增生症（BPH）。根据《中国泌尿外科疾病诊断治疗指南》，BPH患者出现残余尿量 &gt; 50ml、反复尿潴留、反复血尿或泌尿系感染等情况时，具有手术治疗指征。经尿道前列腺电切除术（TURP）是治疗中重度BPH引起的下尿路症状的标准术式（金标准），能够显著改善排尿症状。根治性前列腺切除术适用于早期前列腺癌（AC错），激素治疗用于晚期前列腺癌姑息治疗（E错）。前列腺部分切除术现已基本废除。</t>
  </si>
  <si>
    <t>46.（2分）患儿，男，1岁。B超检查提示右侧睾丸位于腹股沟管内。经内分泌治疗9周后，右侧睾丸仍未下降到阴囊内。下一步治疗的最佳方法是?（D）【单选题】
A. 继续观察
B. 右睾丸切除术
C. 继续内分泌治疗
D. 近期行右睾丸下降固定术
E. 3岁后行右睾丸下降固定术</t>
  </si>
  <si>
    <t>考点还原：男性生殖系统先天异常 - 隐睾的治疗。
参考答案：D。
答案解析：患儿1岁，右侧睾丸位于腹股沟管内，内分泌治疗后仍未降入阴囊，诊断为右侧隐睾。隐睾在6个月后自行下降机会明显减少，为保护生精功能、降低恶变风险并便于随访，应及时行睾丸下降固定术，通常不应拖延至3岁以后（D对，E错）。继续观察或继续内分泌治疗容易延误最佳手术时机（A、C错）。右睾丸切除术仅适用于睾丸明显萎缩、无法下降固定且对侧睾丸正常等特殊情况，本例无此依据（B错）。</t>
  </si>
  <si>
    <t>47.（2分）患者男，26岁。主诉右侧腰腹部阵发性疼痛伴恶心、呕吐1天。尿常规：RBC30～40/HP。腹部卧位X线平片未见异常。超声示右肾积水，右输尿管上段扩张，下段因肠道气体干扰无法显示。为明确诊断，应首选的检查是?（C）【单选题】
A.核素肾显像
B.MRU
C.泌尿系CT平扫
D.尿培养
E.逆行肾盂造影</t>
  </si>
  <si>
    <t>考点还原：泌尿系统(含男性生殖系统)-尿路结石-上尿路结石的诊断与鉴别诊断
正确答案：C
答案解析：患者26岁男性，右侧腰腹部阵发性疼痛伴恶心呕吐1天，尿常规可见红细胞；超声示右侧肾积水，右输尿管上段扩张。根据患者临床表现，最可能的诊断为上尿路结石。该病通过清楚询问病史及疼痛性质(肾绞痛典型)即可初步诊断，实验室检查做血、尿以及结石成分分析，影像学B超定性，平扫CT清晰定位(C对)。核素肾显像不能直接显示泌尿系结石(A错)。MRU不能显示尿路结石(B错)。尿培养多用于尿路感染(D错)。肾盂造影多用于梗阻(E错)。</t>
  </si>
  <si>
    <t>48.（2分）患者男性，39岁。间断左腰痛伴血尿6个月，尿常规：红细胞20～30/高倍镜，白细胞10～20/高倍镜。辅助检查提示：右肾结石1.6×0.9cm；左输尿管上段结石0.8×0.6cm，左肾盂分离1.3cm。按照“一侧肾结石合并对侧输尿管结石时先处理输尿管结石”的原则，该患者目前应优先进行哪项治疗措施?（D）【单选题】
A. 右肾体外冲击波碎石
B. 药物排石
C. 左输尿管镜碎石
D. 左输尿管体外冲击波碎石
E. 左输尿管切开取石</t>
  </si>
  <si>
    <t>考点还原：泌尿系统结石 - 一侧肾结石合并对侧输尿管结石的处理。
参考答案：D。
答案解析：患者左侧腰痛、血尿，左输尿管上段结石0.8×0.6cm，并有左肾盂分离，说明左侧输尿管结石已导致梗阻；同时存在右肾结石。处理原则是优先解除输尿管梗阻，再处理对侧肾结石（A错）。左输尿管上段结石直径小于1cm，若无未控制感染、严重梗阻或肾功能急剧恶化，可优先选择体外冲击波碎石（D对）。药物排石更适合直径较小、表面光滑、无明显梗阻的结石，本例已有肾盂分离且病程较长（B错）。输尿管镜碎石可作为选择，但对本题所给上段0.8cm结石，体外冲击波碎石更符合首选思路（C错）。输尿管切开取石创伤较大，通常用于巨大、嵌顿或腔内治疗失败者（E错）。</t>
  </si>
  <si>
    <t>49.（2分）患者，女，60岁。右腰痛3年，无痛性全程肉眼血尿3天，查体：右肾区叩痛，右肾可触及季肋下3指。尿常规：红细胞满视野，肾盂静脉造影可见右肾中盏移位拉长变形。应诊断为（A）【单选题】
A.肾癌
B.肾囊肿
C.肾结核
D.肾盂癌
E.肾胚胎瘤</t>
  </si>
  <si>
    <t>考点还原：泌尿系统(含男性生殖系统)-泌尿、男性生殖系统肿瘤-肾细胞瘤的临床表现
正确答案：A
答案解析：女性患者，无痛性全程肉眼血尿(肾癌典型症状)、腰痛，影像学检测右肾中盏移位拉长变形(肾癌常见影像学改变)，综合考虑为肾恶性肿瘤，故应诊断为肾癌(A对)；肾囊肿多无临床表现(B错)；肾结核多有尿路刺激症状，肾盏边缘不光滑如虫蛀状(C错)；肾盂癌多侵犯肾盂(D错)；肾胚胎瘤多见于青少年，以腹部肿块为主要表现(E错)。</t>
  </si>
  <si>
    <t>50.（2分）男，65岁，发现阴茎头部菜花样肿物，约1cm大小，查体见左侧腹股沟1枚肿大的淋巴结，质硬可推动，肿物病理为鳞状细胞癌，首选的治疗方案是（B）【单选题】
A.全身化疗
B.阴茎部分切除+髂腹股沟淋巴结切除
C.阴茎全切+髂腹股沟淋巴结切除
D.放疗
E.观察</t>
  </si>
  <si>
    <t>考点还原：泌尿系统(含男性生殖系统)-泌尿、男性生殖系统肿瘤-阴茎癌的治疗
正确答案：B
答案解析：老年男性出现阴茎头部菜花样肿物(Ta期），对于Ta期原则是肿瘤病灶根治性切除与局部器官最大程度保留，伴区域淋巴结增大患者应加行髂腹股沟淋巴结清扫，故应选阴茎部分切除+髂腹股沟淋巴结切除（B对），全身化疗适用于无法手术切除、多发腹股沟或盆腔淋巴结转移的病人应行术后辅助化疗(A错)。阴茎全切适用于晚期阴茎癌(C错)。对于T₂期与分化较差的T₁期肿瘤，单纯根治性放疗可作为手术的替代方案(D错)。患者阴茎癌诊断明确，且出现腹股沟淋巴结肿大，需要积极干预处理(E错)。</t>
  </si>
  <si>
    <t>A3-4</t>
  </si>
  <si>
    <t>患者男，19岁，1小时前骑车不慎摔倒骑跨在车梁上，感会阴部胀痛，尿道口滴血。查体：生命体征平稳，会阴部肿胀，可见瘀斑。急诊用16号导尿管可插入尿道膀胱导出清亮液体。
33.（2分）该患者最可能的诊断是（A）【单选题】
A.尿道球部挫伤
B.尿道膜部损伤
C.尿道阴茎部损伤
D.前列腺损伤
E.膀胱破裂</t>
  </si>
  <si>
    <t>考点还原：泌尿系统（含男性生殖系统）-泌尿系统外伤-前尿道外伤的诊断
正确答案：A
答案解析：青年男性患者因骑跨伤导致会阴部肿胀、疼痛，尿道口滴血，提示尿道损伤。查体显示生命体征平稳，会阴部肿胀伴瘀斑，提示损伤局限。急诊导尿试验显示16号导尿管可顺利插入膀胱导出清亮尿液，提示尿道未完全断裂，损伤程度较轻 (A对)。尿道球部是前尿道中最易受骑跨伤影响的部位，因骑跨时尿道被挤压于车梁与耻骨联合之间，符合尿道球部挫伤的临床特征。尿道膜部位于后尿道，损伤多由骨盆骨折引起，常伴严重创伤和休克，且导尿常无法顺利插入，本例无骨盆骨折史，导尿顺利（B错）。尿道阴茎部损伤多因阴茎外伤或开放性损伤所致，常伴有尿液外渗至阴茎皮下，且尿道口位置较高，导尿可能困难，本例为骑跨伤，损伤部位更低，且导尿顺利（C错）。前列腺损伤常与后尿道损伤同时发生，多见于骨盆骨折患者，表现为排尿困难、血尿及前列腺区压痛，本例无骨盆骨折，且导尿顺利（D错）。膀胱破裂多因下腹部撞击或骨盆骨折所致，表现为腹痛、腹胀、导尿时膀胱空虚或尿液外渗，导尿试验中注入液体后抽出量少于注入量可提示膀胱破裂，本例导尿顺利且导出尿液（E错）。</t>
  </si>
  <si>
    <t>患者男，19岁，1小时前骑车不慎摔倒骑跨在车梁上，感会阴部胀痛，尿道口滴血。查体：生命体征平稳，会阴部肿胀，可见瘀斑。急诊用16号导尿管可插入尿道膀胱导出清亮液体。
34.（2分）下一步处理的重点在于（A）【单选题】
A.导尿管留置1周后拔除，定期球囊扩张
B.导尿管留置1天后拔除
C.导尿管留置3天后拔除
D.抗生素治疗
E.止血药物治疗</t>
  </si>
  <si>
    <t>考点还原：泌尿系统（含男性生殖系统）-泌尿系统外伤-前尿道外伤的治疗
正确答案：A
答案解析：由题干“1小时前骑自行车不慎摔倒骑跨在车梁上，会阴部肿胀痛，尿道口滴血”可知患者属于前尿道外伤。“急诊用16号导尿管可插入尿道膀胱，导出清亮液体”可知患者已进行诊断性导尿，“导出清亮液体”说明患者尿道完整性和连续性尚存在，不需要进行手术。尿道连续性好，导尿管留置1周即可，同时为预防尿道狭窄，定期行球囊扩张(A对CDE错)。</t>
  </si>
  <si>
    <t>患者男性，69岁，主诉间断性肉眼血尿3月余，镜下有血凝块，无腹痛、发热，无尿频、尿急、尿痛。B超提示膀胱侧壁有一3cm新生物，乳头状，有蒂。
35.（2分）该病例适宜的治疗方式为（D）【单选题】
A.根治性膀胱切除
B.膀胱灌注
C.膀胱部分切除
D.经尿道膀胱肿瘤切除
E.全身化疗</t>
  </si>
  <si>
    <t>考点还原：泌尿系统(含男性生殖系统)-泌尿、男性生殖系统肿瘤-尿路上皮肿瘤-膀胱肿瘤的治疗
正确答案：D
答案解析：老年男性，间断性肉眼血尿3月余，无腹痛、发热(感染可能性小)，无尿频、尿急、尿痛(无膀胱刺激征)。B超提示膀胱内侧壁有一3cm乳头状新生物，根据患者临床表现与影像学检查，最可能的诊断应为膀胱癌早期。血尿是膀胱癌最常见的症状。约85%的病人表现为间歇性无痛全程肉眼血尿，可自行减轻或停止。尿频、尿急、尿痛多为膀胱癌的晚期表现，常因肿瘤坏死、遗疡或并发感染所致。经尿道膀胱肿瘤电切术(TURBT)既是膀胱癌的重要诊断方法，同时也是主要的治疗手段。TURBT应将肿瘤完全切除直至正常的膀胱壁肌层(D对)。根治性膀胱切除联合盆腔淋巴结清扫术是肌层浸润性膀胱癌的标准治疗方式，能诚少局部复发和远处转移，提高病人生存率(A错)。膀胱灌注为术后辅助化疗常用方式(B错)。光动力学治疗、膀胱部分切除术和根治性膀胱切除术等治疗方式仅适用于特殊条件的病人(C错)。对于无法手术治愈的转移性膀胱癌的首选治疗方法是全身化疗。(E错)。</t>
  </si>
  <si>
    <t>患者男性，69岁，主诉间断性肉眼血尿3月余，镜下有血凝块，无腹痛、发热，无尿频、尿急、尿痛。B超提示膀胱侧壁有一3cm新生物，乳头状，有蒂。
36.（2分）该病例最具价值的检查为（C）【单选题】
A.CT
B.MRI
C.膀胱镜加活检
D.膀胱造影
E.腹部超声</t>
  </si>
  <si>
    <t>考点还原：泌尿系统(含男性生殖系统)-泌尿、男性生殖系统肿瘤-尿路上皮肿瘤-膀胱肿瘤的诊断
正确答案：C
答案解析：老老年男性，间断性肉眼血尿3月余，无腹痛、发热(感染可能性小)，无尿频、尿急、尿痛(无膀胱刺激征)。B超提示膀胱内侧壁有一3cm乳头状新生物，根据患者临床表现与影像学检查，最可能的诊断应为膀胱癌。血尿是膀胱癌最常见的症状。约85%的病人表现为间歇性无痛全程肉眼血尿，可自行减轻或停止。尿频、尿急、尿痛多为膀胱癌的晚期表现，常因肿瘤坏死、遗疡或并发感染所致。诊断膀胱癌最具价值的检查为膀胱镜加活检，膀胱镜下可以直接观察到肿瘤的部位、大小、数目、形态，初步估计浸润程度等，并可对肿瘤和可疑病变进行活检(C对)。CT和MRI可以判断肿瘤浸润膀胱壁深度、淋巴结以及内脏转移的情况，但诊断价值不如膀胱镜活检(AB错)。膀胱造影可显示膀胱内的充盈缺损，对诊断是否为癌症有一定价值，但诊断价值不如膀胱镜(D错)。腹部超声简便易行，能发现直径＞0.5cm的肿瘤，可作为病人的最初筛查(E错)。</t>
  </si>
  <si>
    <t xml:space="preserve">是  </t>
  </si>
  <si>
    <t>10.（2分）泌尿系统结石的血尿特点是（D）【单选题】
A.无痛性全程肉眼血尿
B.终末血尿伴膀胱刺激征
C.初始血尿
D.疼痛伴血尿
E.血红蛋白尿</t>
  </si>
  <si>
    <t>考点还原：泌尿系统(含男性生殖系统)-尿路结石-上尿路结石的临床表现
正确答案：D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对)。无痛性肉眼血尿常见于泌尿系统肿瘤，如膀胱癌、肾癌等(A错)。终末血尿伴膀胱刺激症状多见于下尿路感染或膀胱病变，提示病变位于膀胱三角区或后尿道(B错)。初始血尿多提示前尿道病变，如尿道炎、尿道损伤等，不常见于上尿路结石(C错)。血尿+蛋白尿可见于肾小球疾病，如IgA肾病、急性肾小球肾炎等，提示肾小球源性血尿(E错)。</t>
  </si>
  <si>
    <t xml:space="preserve">否 </t>
  </si>
  <si>
    <t xml:space="preserve">11.（2分）泌尿系统肿瘤的血尿特点是（A）【单选题】
A.无痛性全程肉眼血尿
B.终末血尿伴膀胱刺激征
C.初始血尿
D.疼痛伴血尿
E.血红蛋白尿
</t>
  </si>
  <si>
    <t>考点还原：泌尿系统(含男性生殖系统)-泌尿系统肿瘤-泌尿系统肿瘤的临床表现
正确答案：A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对)。终末血尿伴膀胱刺激症状多见于下尿路感染或膀胱病变，如膀胱炎、膀胱结石，提示病变位于膀胱三角区或后尿道(B错)。初始血尿多提示前尿道病变，如尿道炎、尿道损伤等，不常见于上尿路结石(C错)。血尿+蛋白尿可见于肾小球疾病，如IgA肾病、急性肾小球肾炎等，提示肾小球源性血尿(E错)。</t>
  </si>
  <si>
    <t>12.（2分）尿道炎的血尿特点是（C）【单选题】
A.无痛性全程肉眼血尿
B.终末血尿伴膀胱刺激征
C.初始血尿
D.疼痛伴血尿
E.血红蛋白尿</t>
  </si>
  <si>
    <t>考点还原：泌尿系统(含男性生殖系统)-尿道炎-尿道炎的临床表现
正确答案：C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错)。终末血尿伴膀胱刺激症状多见于下尿路感染或膀胱病变，如膀胱炎、膀胱结石，提示病变位于膀胱三角区或后尿道(B错)。初始血尿多提示前尿道病变，如尿道炎、尿道损伤等，不常见于上尿路结石(C对)。血尿+蛋白尿可见于肾小球疾病，如IgA肾病、急性肾小球肾炎等，提示肾小球源性血尿(E错)。</t>
  </si>
  <si>
    <t xml:space="preserve">否  </t>
  </si>
  <si>
    <t>20.（2分）精索静脉曲张左侧高发的主要原因包括?（ABCD）【不定项选择题，全部选对得2分，其余情况不得分】
A.左侧精索内静脉呈直角注入左肾静脉
B.乙状结肠压迫
C.入肾静脉处瓣膜发育不全
D.静脉壁丛的平滑肌薄弱
E.左肾下垂</t>
  </si>
  <si>
    <t>考点还原：泌尿系统(含男性生殖系统)-泌尿、男性生殖系统先天性畸形及其他疾病-精索静脉曲张的病因
正确答案：ABCD
答案解析：精索静脉曲张是指精索内蔓状静脉丛的异常伸长、扩张和迂曲，以左侧多见，其主要原因为：①左侧精索内静脉呈直角注入左肾静脉（A对），左肾静脉通过主动脉和肠系膜上动脉之间，使左侧回流阻力增大；左精索内静脉下段位于乙状结肠后面，使左精索内静脉易受乙状结肠压迫（B对），左侧静脉回流受阻；②左精索内静脉注入左肾静脉的入口处有瓣膜防止逆流，如静脉瓣发育不全（C对），静脉壁丛的平滑肌或弹力纤维薄弱（D对），则可导致精索静脉曲张。左肾下垂不会导致精索静脉曲张（E错）。</t>
  </si>
  <si>
    <t>21.（2分）下列哪些选项是输尿管镜取石术的禁忌症?（ABC）【不定项选择题，全部选对得2分，其余情况不得分】
A.输尿管严重狭窄扭曲
B.未控制的尿路感染
C.凝血功能障碍
D.过于肥胖
E.糖尿病</t>
  </si>
  <si>
    <t>考点还原：泌尿系统(含男性生殖系统)-尿路结石-尿路结石的治疗
正确答案：ABC
答案解析：输尿管镜取石术适用于中、下段输尿管结石，体外冲击波碎石失败的输尿管上段结石，X线阴性的输尿管结石，停留时间长的嵌顿性结石，亦用于体外冲击波碎石L治疗所致的“石街”。输尿管严重狭窄或扭曲、合并全身出血性疾病、未控制的尿路感染等不宜采用此法。</t>
  </si>
  <si>
    <t>22.（2分）下列哪些选项是保留肾单位手术的适应症?（ACDE）【不定项选择题，全部选对得2分，其余情况不得分】
A.T1a期肾癌
B.T2期肾癌
C.功能性孤立肾
D.解剖性孤立肾
E.切除患肾会导致尿毒症</t>
  </si>
  <si>
    <t>考点还原：泌尿系统(含男性生殖系统)-泌尿系统肿瘤-肾细胞肿瘤的治疗。
正确答案：ACDE
答案解析：保留肾单位手术的适应证：T1期肾癌、肾癌发生于解剖性或功能性的孤立肾，根治性肾切除术将导致肾功能不全或尿毒症的病人。对于不适合行保留肾单位手术的T1期肾癌，以及T2~T4期肾癌应首选根治性肾切除术。（20分钟30秒）</t>
  </si>
  <si>
    <t>正确率：12/20</t>
  </si>
  <si>
    <t>A1:1/3</t>
  </si>
  <si>
    <t>A2:4/7</t>
  </si>
  <si>
    <t>A3-4:2/4</t>
  </si>
  <si>
    <t>B:3/3</t>
  </si>
  <si>
    <t>X:2/3</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</si>
  <si>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</si>
  <si>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</si>
  <si>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</si>
  <si>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</si>
  <si>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</si>
  <si>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</si>
  <si>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</si>
  <si>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</si>
  <si>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</si>
  <si>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</si>
  <si>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</si>
  <si>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</si>
  <si>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</si>
  <si>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</si>
  <si>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</si>
  <si>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</si>
  <si>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</si>
  <si>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</si>
  <si>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</si>
  <si>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</si>
  <si>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</si>
  <si>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</si>
  <si>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</si>
  <si>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</si>
  <si>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</si>
  <si>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</si>
  <si>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</si>
  <si>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</si>
  <si>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</si>
  <si>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</si>
  <si>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</si>
  <si>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</si>
  <si>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</si>
  <si>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</si>
  <si>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</si>
  <si>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</si>
  <si>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</si>
  <si>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</si>
  <si>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</si>
  <si>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</si>
  <si>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</si>
  <si>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</si>
  <si>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</si>
  <si>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</si>
  <si>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</si>
  <si>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</si>
  <si>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</si>
  <si>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</si>
  <si>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</si>
  <si>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</si>
  <si>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</si>
  <si>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</si>
  <si>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</si>
  <si>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</si>
  <si>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</si>
  <si>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</si>
  <si>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</si>
  <si>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</si>
  <si>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</si>
  <si>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</si>
  <si>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</si>
  <si>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</si>
  <si>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</si>
  <si>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</si>
  <si>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</si>
  <si>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</si>
  <si>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</si>
  <si>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</si>
  <si>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</si>
  <si>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</si>
  <si>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</si>
  <si>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</si>
  <si>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</si>
  <si>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</si>
  <si>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</si>
  <si>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</si>
  <si>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</si>
  <si>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</si>
  <si>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</si>
  <si>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</si>
  <si>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</si>
  <si>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</si>
  <si>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</si>
  <si>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</si>
  <si>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</si>
  <si>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</si>
  <si>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</si>
  <si>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</si>
  <si>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</si>
  <si>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</si>
  <si>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</si>
  <si>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</si>
  <si>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</si>
  <si>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</si>
  <si>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</si>
  <si>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</si>
  <si>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</si>
  <si>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</si>
  <si>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</si>
  <si>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</si>
  <si>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正确率：17/50</t>
  </si>
  <si>
    <t>A2:4/18</t>
  </si>
  <si>
    <t>A3-4:0/14</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</si>
  <si>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</si>
  <si>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</si>
  <si>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</si>
  <si>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</si>
  <si>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</si>
  <si>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</si>
  <si>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</si>
  <si>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</si>
  <si>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</si>
  <si>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</si>
  <si>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</si>
  <si>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</si>
  <si>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</si>
  <si>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</si>
  <si>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</si>
  <si>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</si>
  <si>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</si>
  <si>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</si>
  <si>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</si>
  <si>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</si>
  <si>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</si>
  <si>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</si>
  <si>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</si>
  <si>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</si>
  <si>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</si>
  <si>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</si>
  <si>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</si>
  <si>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</si>
  <si>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</si>
  <si>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</si>
  <si>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</si>
  <si>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</si>
  <si>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</si>
  <si>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</si>
  <si>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</si>
  <si>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</si>
  <si>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</si>
  <si>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</si>
  <si>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</si>
  <si>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</si>
  <si>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正确率：1/20</t>
  </si>
  <si>
    <t>A2:0/7</t>
  </si>
  <si>
    <t>A3-4:0/4</t>
  </si>
  <si>
    <t>B:0/3</t>
  </si>
  <si>
    <t>X:0/3</t>
  </si>
  <si>
    <t>汇总</t>
  </si>
  <si>
    <t>次数</t>
  </si>
  <si>
    <t>比例</t>
  </si>
  <si>
    <t>合计选择认为是AI的</t>
  </si>
  <si>
    <t>42/120</t>
  </si>
  <si>
    <t>合计选择认为是人工的</t>
  </si>
  <si>
    <t>78/120</t>
  </si>
  <si>
    <t>人工被认为是AI</t>
  </si>
  <si>
    <t>24/50</t>
  </si>
  <si>
    <t>成功识别人工题</t>
  </si>
  <si>
    <t>26/50</t>
  </si>
  <si>
    <t>AI被认为是人工</t>
  </si>
  <si>
    <t>52/70</t>
  </si>
  <si>
    <t>成功识别AI题</t>
  </si>
  <si>
    <t>18/70</t>
  </si>
  <si>
    <t>总正确率</t>
  </si>
  <si>
    <t>44/120</t>
  </si>
  <si>
    <t>A1汇总</t>
  </si>
  <si>
    <t>8/17</t>
  </si>
  <si>
    <t>9/17</t>
  </si>
  <si>
    <t>3/7</t>
  </si>
  <si>
    <t>4/7</t>
  </si>
  <si>
    <t>4/10</t>
  </si>
  <si>
    <t>5/10</t>
  </si>
  <si>
    <t>A2汇总</t>
  </si>
  <si>
    <t>14/43</t>
  </si>
  <si>
    <t>29/43</t>
  </si>
  <si>
    <t>10/18</t>
  </si>
  <si>
    <t>8/18</t>
  </si>
  <si>
    <t>21/25</t>
  </si>
  <si>
    <t>4/25</t>
  </si>
  <si>
    <t>12/43</t>
  </si>
  <si>
    <t>A3-4汇总</t>
  </si>
  <si>
    <t>7/32</t>
  </si>
  <si>
    <t>25/32</t>
  </si>
  <si>
    <t>7/14</t>
  </si>
  <si>
    <t>18/18</t>
  </si>
  <si>
    <t>0/18</t>
  </si>
  <si>
    <t>B汇总</t>
  </si>
  <si>
    <t>5/9</t>
  </si>
  <si>
    <t>4/9</t>
  </si>
  <si>
    <t>2/3</t>
  </si>
  <si>
    <t>1/3</t>
  </si>
  <si>
    <t>3/6</t>
  </si>
  <si>
    <t>X汇总</t>
  </si>
  <si>
    <t>8/19</t>
  </si>
  <si>
    <t>11/19</t>
  </si>
  <si>
    <t>2/8</t>
  </si>
  <si>
    <t>6/8</t>
  </si>
  <si>
    <t>5/11</t>
  </si>
  <si>
    <t>6/11</t>
  </si>
  <si>
    <t>12/19</t>
  </si>
  <si>
    <t>A3,4</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</si>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</sst>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808080"/>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4" borderId="12" applyNumberFormat="0" applyAlignment="0" applyProtection="0">
      <alignment vertical="center"/>
    </xf>
    <xf numFmtId="0" fontId="13" fillId="5" borderId="13" applyNumberFormat="0" applyAlignment="0" applyProtection="0">
      <alignment vertical="center"/>
    </xf>
    <xf numFmtId="0" fontId="14" fillId="5" borderId="12" applyNumberFormat="0" applyAlignment="0" applyProtection="0">
      <alignment vertical="center"/>
    </xf>
    <xf numFmtId="0" fontId="15" fillId="6"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4">
    <xf numFmtId="0" fontId="0" fillId="0" borderId="0" xfId="0"/>
    <xf numFmtId="0" fontId="1" fillId="0" borderId="0" xfId="0" applyFo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Fill="1" applyBorder="1" applyAlignment="1">
      <alignment horizontal="center" vertical="center"/>
    </xf>
    <xf numFmtId="0" fontId="0" fillId="2" borderId="4" xfId="0" applyFill="1"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center" vertical="top" wrapText="1"/>
    </xf>
    <xf numFmtId="0" fontId="1" fillId="0" borderId="0" xfId="0" applyFont="1" applyBorder="1" applyAlignment="1">
      <alignment horizontal="center" vertical="top" wrapText="1"/>
    </xf>
    <xf numFmtId="0" fontId="0" fillId="0" borderId="6" xfId="0" applyBorder="1" applyAlignment="1">
      <alignment vertical="top" wrapText="1"/>
    </xf>
    <xf numFmtId="0" fontId="1" fillId="0" borderId="7" xfId="0" applyFont="1" applyBorder="1" applyAlignment="1">
      <alignment horizontal="center" vertical="top" wrapText="1"/>
    </xf>
    <xf numFmtId="0" fontId="1" fillId="0" borderId="0" xfId="0" applyFont="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2" fillId="0" borderId="0" xfId="0" applyFont="1" applyAlignment="1">
      <alignment horizontal="center" vertical="top"/>
    </xf>
    <xf numFmtId="49" fontId="0" fillId="0" borderId="0" xfId="0" applyNumberFormat="1"/>
    <xf numFmtId="0" fontId="0" fillId="0" borderId="0" xfId="0" applyAlignment="1">
      <alignment wrapText="1"/>
    </xf>
    <xf numFmtId="0" fontId="0" fillId="2" borderId="0" xfId="0" applyFill="1"/>
    <xf numFmtId="0" fontId="0" fillId="0" borderId="0" xfId="0" applyFont="1" applyFill="1" applyBorder="1" applyAlignment="1"/>
    <xf numFmtId="0" fontId="0" fillId="2" borderId="0" xfId="0" applyFont="1" applyFill="1" applyBorder="1" applyAlignment="1"/>
    <xf numFmtId="0" fontId="3" fillId="0" borderId="0" xfId="0" applyFont="1" applyAlignment="1">
      <alignment horizontal="left" wrapText="1"/>
    </xf>
    <xf numFmtId="0" fontId="0" fillId="0" borderId="0" xfId="0" applyAlignment="1">
      <alignment horizontal="center" vertical="center"/>
    </xf>
    <xf numFmtId="0" fontId="3" fillId="0" borderId="0" xfId="0" applyFont="1" applyAlignment="1">
      <alignment horizontal="left" vertical="top" wrapText="1"/>
    </xf>
    <xf numFmtId="0" fontId="0" fillId="2"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60" zoomScaleNormal="60" topLeftCell="D1" workbookViewId="0">
      <pane ySplit="2" topLeftCell="A51" activePane="bottomLeft" state="frozen"/>
      <selection/>
      <selection pane="bottomLeft" activeCell="AC53" sqref="AC53:AC58"/>
    </sheetView>
  </sheetViews>
  <sheetFormatPr defaultColWidth="9.64601769911504" defaultRowHeight="13.5"/>
  <cols>
    <col min="1" max="1" width="4.52212389380531" style="23" customWidth="1"/>
    <col min="2" max="2" width="81.2654867256637" style="26" customWidth="1"/>
    <col min="3" max="3" width="63.1681415929204" customWidth="1"/>
    <col min="4" max="9" width="6.52212389380531" customWidth="1"/>
    <col min="10" max="10" width="10.5663716814159" customWidth="1"/>
    <col min="11" max="11" width="9" style="27"/>
    <col min="27" max="27" width="12.9380530973451" customWidth="1"/>
    <col min="28" max="28" width="9" style="27"/>
    <col min="29" max="29" width="19.4424778761062" customWidth="1"/>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81" spans="1:29">
      <c r="A3" s="15"/>
      <c r="B3" s="10" t="s">
        <v>28</v>
      </c>
      <c r="C3" s="11" t="s">
        <v>29</v>
      </c>
      <c r="D3" s="12">
        <v>5</v>
      </c>
      <c r="E3" s="12">
        <v>5</v>
      </c>
      <c r="F3" s="12">
        <v>5</v>
      </c>
      <c r="G3" s="12">
        <v>4</v>
      </c>
      <c r="H3" s="12">
        <v>5</v>
      </c>
      <c r="I3" s="12">
        <v>5</v>
      </c>
      <c r="J3" s="12">
        <v>5</v>
      </c>
      <c r="K3" s="13">
        <f t="shared" ref="K3:K52"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20" si="1">SUM(L3:AA3)</f>
        <v>59</v>
      </c>
      <c r="AC3" s="28" t="s">
        <v>30</v>
      </c>
    </row>
    <row r="4" ht="81" spans="1:29">
      <c r="A4" s="15"/>
      <c r="B4" s="10" t="s">
        <v>31</v>
      </c>
      <c r="C4" s="11" t="s">
        <v>32</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28" t="s">
        <v>30</v>
      </c>
    </row>
    <row r="5" ht="108" customHeight="1" spans="1:29">
      <c r="A5" s="15"/>
      <c r="B5" s="10" t="s">
        <v>33</v>
      </c>
      <c r="C5" s="11" t="s">
        <v>34</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28" t="s">
        <v>30</v>
      </c>
    </row>
    <row r="6" ht="81" spans="1:29">
      <c r="A6" s="15"/>
      <c r="B6" s="10" t="s">
        <v>35</v>
      </c>
      <c r="C6" s="11" t="s">
        <v>36</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28" t="s">
        <v>30</v>
      </c>
    </row>
    <row r="7" ht="81" spans="1:29">
      <c r="A7" s="15"/>
      <c r="B7" s="10" t="s">
        <v>37</v>
      </c>
      <c r="C7" s="11" t="s">
        <v>38</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29" t="s">
        <v>39</v>
      </c>
    </row>
    <row r="8" ht="108" customHeight="1" spans="1:29">
      <c r="A8" s="15"/>
      <c r="B8" s="10" t="s">
        <v>40</v>
      </c>
      <c r="C8" s="11" t="s">
        <v>41</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29" t="s">
        <v>39</v>
      </c>
    </row>
    <row r="9" ht="81" spans="1:29">
      <c r="A9" s="15"/>
      <c r="B9" s="10" t="s">
        <v>42</v>
      </c>
      <c r="C9" s="11" t="s">
        <v>43</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29" t="s">
        <v>39</v>
      </c>
    </row>
    <row r="10" ht="163" customHeight="1" spans="1:29">
      <c r="A10" s="15" t="s">
        <v>44</v>
      </c>
      <c r="B10" s="10" t="s">
        <v>45</v>
      </c>
      <c r="C10" s="11" t="s">
        <v>46</v>
      </c>
      <c r="D10" s="12">
        <v>5</v>
      </c>
      <c r="E10" s="12">
        <v>4</v>
      </c>
      <c r="F10" s="12">
        <v>5</v>
      </c>
      <c r="G10" s="12">
        <v>5</v>
      </c>
      <c r="H10" s="12">
        <v>4</v>
      </c>
      <c r="I10" s="12">
        <v>5</v>
      </c>
      <c r="J10" s="12">
        <v>5</v>
      </c>
      <c r="K10" s="13">
        <f t="shared" si="0"/>
        <v>33</v>
      </c>
      <c r="L10" s="12">
        <v>5</v>
      </c>
      <c r="M10" s="12">
        <v>5</v>
      </c>
      <c r="N10" s="12">
        <v>3</v>
      </c>
      <c r="O10" s="12">
        <v>5</v>
      </c>
      <c r="P10" s="12">
        <v>4</v>
      </c>
      <c r="Q10" s="12">
        <v>3</v>
      </c>
      <c r="R10" s="12">
        <v>3</v>
      </c>
      <c r="S10" s="12">
        <v>5</v>
      </c>
      <c r="T10" s="12">
        <v>3</v>
      </c>
      <c r="U10" s="12">
        <v>5</v>
      </c>
      <c r="V10" s="12">
        <v>5</v>
      </c>
      <c r="W10" s="12">
        <v>5</v>
      </c>
      <c r="X10" s="12">
        <v>3</v>
      </c>
      <c r="Y10" s="12">
        <v>4</v>
      </c>
      <c r="Z10" s="12">
        <v>3</v>
      </c>
      <c r="AA10" s="12">
        <v>4</v>
      </c>
      <c r="AB10" s="13">
        <f t="shared" si="1"/>
        <v>65</v>
      </c>
      <c r="AC10" s="29" t="s">
        <v>39</v>
      </c>
    </row>
    <row r="11" ht="108" spans="1:29">
      <c r="A11" s="15"/>
      <c r="B11" s="10" t="s">
        <v>47</v>
      </c>
      <c r="C11" s="11" t="s">
        <v>48</v>
      </c>
      <c r="D11" s="12">
        <v>5</v>
      </c>
      <c r="E11" s="12">
        <v>5</v>
      </c>
      <c r="F11" s="12">
        <v>5</v>
      </c>
      <c r="G11" s="12">
        <v>5</v>
      </c>
      <c r="H11" s="12">
        <v>4</v>
      </c>
      <c r="I11" s="12">
        <v>5</v>
      </c>
      <c r="J11" s="12">
        <v>5</v>
      </c>
      <c r="K11" s="13">
        <f t="shared" si="0"/>
        <v>34</v>
      </c>
      <c r="L11" s="12">
        <v>5</v>
      </c>
      <c r="M11" s="12">
        <v>5</v>
      </c>
      <c r="N11" s="12">
        <v>3</v>
      </c>
      <c r="O11" s="12">
        <v>5</v>
      </c>
      <c r="P11" s="12">
        <v>1</v>
      </c>
      <c r="Q11" s="12">
        <v>4</v>
      </c>
      <c r="R11" s="12">
        <v>4</v>
      </c>
      <c r="S11" s="12">
        <v>5</v>
      </c>
      <c r="T11" s="12">
        <v>5</v>
      </c>
      <c r="U11" s="12">
        <v>5</v>
      </c>
      <c r="V11" s="12">
        <v>5</v>
      </c>
      <c r="W11" s="12">
        <v>3</v>
      </c>
      <c r="X11" s="12">
        <v>1</v>
      </c>
      <c r="Y11" s="12">
        <v>3</v>
      </c>
      <c r="Z11" s="12">
        <v>3</v>
      </c>
      <c r="AA11" s="12">
        <v>3</v>
      </c>
      <c r="AB11" s="13">
        <f t="shared" si="1"/>
        <v>60</v>
      </c>
      <c r="AC11" s="29" t="s">
        <v>39</v>
      </c>
    </row>
    <row r="12" ht="94.5" spans="1:29">
      <c r="A12" s="15"/>
      <c r="B12" s="10" t="s">
        <v>49</v>
      </c>
      <c r="C12" s="11" t="s">
        <v>50</v>
      </c>
      <c r="D12" s="12">
        <v>5</v>
      </c>
      <c r="E12" s="12">
        <v>5</v>
      </c>
      <c r="F12" s="12">
        <v>5</v>
      </c>
      <c r="G12" s="12">
        <v>5</v>
      </c>
      <c r="H12" s="12">
        <v>5</v>
      </c>
      <c r="I12" s="12">
        <v>5</v>
      </c>
      <c r="J12" s="12">
        <v>5</v>
      </c>
      <c r="K12" s="13">
        <f t="shared" si="0"/>
        <v>35</v>
      </c>
      <c r="L12" s="12">
        <v>5</v>
      </c>
      <c r="M12" s="12">
        <v>5</v>
      </c>
      <c r="N12" s="12">
        <v>3</v>
      </c>
      <c r="O12" s="12">
        <v>5</v>
      </c>
      <c r="P12" s="12">
        <v>2</v>
      </c>
      <c r="Q12" s="12">
        <v>4</v>
      </c>
      <c r="R12" s="12">
        <v>3</v>
      </c>
      <c r="S12" s="12">
        <v>5</v>
      </c>
      <c r="T12" s="12">
        <v>5</v>
      </c>
      <c r="U12" s="12">
        <v>5</v>
      </c>
      <c r="V12" s="12">
        <v>5</v>
      </c>
      <c r="W12" s="12">
        <v>3</v>
      </c>
      <c r="X12" s="12">
        <v>2</v>
      </c>
      <c r="Y12" s="12">
        <v>3</v>
      </c>
      <c r="Z12" s="12">
        <v>3</v>
      </c>
      <c r="AA12" s="12">
        <v>3</v>
      </c>
      <c r="AB12" s="13">
        <f t="shared" si="1"/>
        <v>61</v>
      </c>
      <c r="AC12" s="29" t="s">
        <v>39</v>
      </c>
    </row>
    <row r="13" ht="108" spans="1:29">
      <c r="A13" s="15"/>
      <c r="B13" s="10" t="s">
        <v>51</v>
      </c>
      <c r="C13" s="11" t="s">
        <v>52</v>
      </c>
      <c r="D13" s="12">
        <v>5</v>
      </c>
      <c r="E13" s="12">
        <v>5</v>
      </c>
      <c r="F13" s="12">
        <v>5</v>
      </c>
      <c r="G13" s="12">
        <v>5</v>
      </c>
      <c r="H13" s="12">
        <v>5</v>
      </c>
      <c r="I13" s="12">
        <v>5</v>
      </c>
      <c r="J13" s="12">
        <v>5</v>
      </c>
      <c r="K13" s="13">
        <f t="shared" si="0"/>
        <v>35</v>
      </c>
      <c r="L13" s="12">
        <v>5</v>
      </c>
      <c r="M13" s="12">
        <v>5</v>
      </c>
      <c r="N13" s="12">
        <v>3</v>
      </c>
      <c r="O13" s="12">
        <v>5</v>
      </c>
      <c r="P13" s="12">
        <v>2</v>
      </c>
      <c r="Q13" s="12">
        <v>4</v>
      </c>
      <c r="R13" s="12">
        <v>3</v>
      </c>
      <c r="S13" s="12">
        <v>5</v>
      </c>
      <c r="T13" s="12">
        <v>5</v>
      </c>
      <c r="U13" s="12">
        <v>5</v>
      </c>
      <c r="V13" s="12">
        <v>5</v>
      </c>
      <c r="W13" s="12">
        <v>2</v>
      </c>
      <c r="X13" s="12">
        <v>2</v>
      </c>
      <c r="Y13" s="12">
        <v>3</v>
      </c>
      <c r="Z13" s="12">
        <v>3</v>
      </c>
      <c r="AA13" s="12">
        <v>3</v>
      </c>
      <c r="AB13" s="13">
        <f t="shared" si="1"/>
        <v>60</v>
      </c>
      <c r="AC13" s="29" t="s">
        <v>39</v>
      </c>
    </row>
    <row r="14" ht="98" customHeight="1" spans="1:29">
      <c r="A14" s="15"/>
      <c r="B14" s="10" t="s">
        <v>53</v>
      </c>
      <c r="C14" s="11" t="s">
        <v>54</v>
      </c>
      <c r="D14" s="12">
        <v>5</v>
      </c>
      <c r="E14" s="12">
        <v>5</v>
      </c>
      <c r="F14" s="12">
        <v>5</v>
      </c>
      <c r="G14" s="12">
        <v>5</v>
      </c>
      <c r="H14" s="12">
        <v>5</v>
      </c>
      <c r="I14" s="12">
        <v>5</v>
      </c>
      <c r="J14" s="12">
        <v>5</v>
      </c>
      <c r="K14" s="13">
        <f t="shared" si="0"/>
        <v>35</v>
      </c>
      <c r="L14" s="12">
        <v>5</v>
      </c>
      <c r="M14" s="12">
        <v>5</v>
      </c>
      <c r="N14" s="12">
        <v>3</v>
      </c>
      <c r="O14" s="12">
        <v>5</v>
      </c>
      <c r="P14" s="12">
        <v>1</v>
      </c>
      <c r="Q14" s="12">
        <v>4</v>
      </c>
      <c r="R14" s="12">
        <v>4</v>
      </c>
      <c r="S14" s="12">
        <v>5</v>
      </c>
      <c r="T14" s="12">
        <v>5</v>
      </c>
      <c r="U14" s="12">
        <v>5</v>
      </c>
      <c r="V14" s="12">
        <v>5</v>
      </c>
      <c r="W14" s="12">
        <v>3</v>
      </c>
      <c r="X14" s="12">
        <v>2</v>
      </c>
      <c r="Y14" s="12">
        <v>3</v>
      </c>
      <c r="Z14" s="12">
        <v>3</v>
      </c>
      <c r="AA14" s="12">
        <v>3</v>
      </c>
      <c r="AB14" s="13">
        <f t="shared" si="1"/>
        <v>61</v>
      </c>
      <c r="AC14" s="28" t="s">
        <v>30</v>
      </c>
    </row>
    <row r="15" ht="108" spans="1:29">
      <c r="A15" s="15"/>
      <c r="B15" s="10" t="s">
        <v>55</v>
      </c>
      <c r="C15" s="11" t="s">
        <v>56</v>
      </c>
      <c r="D15" s="12">
        <v>4</v>
      </c>
      <c r="E15" s="12">
        <v>5</v>
      </c>
      <c r="F15" s="12">
        <v>4</v>
      </c>
      <c r="G15" s="12">
        <v>5</v>
      </c>
      <c r="H15" s="12">
        <v>5</v>
      </c>
      <c r="I15" s="12">
        <v>5</v>
      </c>
      <c r="J15" s="12">
        <v>5</v>
      </c>
      <c r="K15" s="13">
        <f t="shared" si="0"/>
        <v>33</v>
      </c>
      <c r="L15" s="12">
        <v>5</v>
      </c>
      <c r="M15" s="12">
        <v>5</v>
      </c>
      <c r="N15" s="12">
        <v>3</v>
      </c>
      <c r="O15" s="12">
        <v>5</v>
      </c>
      <c r="P15" s="12">
        <v>1</v>
      </c>
      <c r="Q15" s="12">
        <v>4</v>
      </c>
      <c r="R15" s="12">
        <v>4</v>
      </c>
      <c r="S15" s="12">
        <v>5</v>
      </c>
      <c r="T15" s="12">
        <v>5</v>
      </c>
      <c r="U15" s="12">
        <v>5</v>
      </c>
      <c r="V15" s="12">
        <v>5</v>
      </c>
      <c r="W15" s="12">
        <v>3</v>
      </c>
      <c r="X15" s="12">
        <v>2</v>
      </c>
      <c r="Y15" s="12">
        <v>4</v>
      </c>
      <c r="Z15" s="12">
        <v>3</v>
      </c>
      <c r="AA15" s="12">
        <v>4</v>
      </c>
      <c r="AB15" s="13">
        <f t="shared" si="1"/>
        <v>63</v>
      </c>
      <c r="AC15" s="29" t="s">
        <v>39</v>
      </c>
    </row>
    <row r="16" ht="94.5" spans="1:29">
      <c r="A16" s="15"/>
      <c r="B16" s="10" t="s">
        <v>57</v>
      </c>
      <c r="C16" s="11" t="s">
        <v>58</v>
      </c>
      <c r="D16" s="12">
        <v>5</v>
      </c>
      <c r="E16" s="12">
        <v>5</v>
      </c>
      <c r="F16" s="12">
        <v>5</v>
      </c>
      <c r="G16" s="12">
        <v>5</v>
      </c>
      <c r="H16" s="12">
        <v>5</v>
      </c>
      <c r="I16" s="12">
        <v>5</v>
      </c>
      <c r="J16" s="12">
        <v>5</v>
      </c>
      <c r="K16" s="13">
        <f t="shared" si="0"/>
        <v>35</v>
      </c>
      <c r="L16" s="12">
        <v>5</v>
      </c>
      <c r="M16" s="12">
        <v>5</v>
      </c>
      <c r="N16" s="12">
        <v>3</v>
      </c>
      <c r="O16" s="12">
        <v>5</v>
      </c>
      <c r="P16" s="12">
        <v>2</v>
      </c>
      <c r="Q16" s="12">
        <v>4</v>
      </c>
      <c r="R16" s="12">
        <v>4</v>
      </c>
      <c r="S16" s="12">
        <v>5</v>
      </c>
      <c r="T16" s="12">
        <v>5</v>
      </c>
      <c r="U16" s="12">
        <v>5</v>
      </c>
      <c r="V16" s="12">
        <v>5</v>
      </c>
      <c r="W16" s="12">
        <v>3</v>
      </c>
      <c r="X16" s="12">
        <v>2</v>
      </c>
      <c r="Y16" s="12">
        <v>3</v>
      </c>
      <c r="Z16" s="12">
        <v>3</v>
      </c>
      <c r="AA16" s="12">
        <v>3</v>
      </c>
      <c r="AB16" s="13">
        <f t="shared" si="1"/>
        <v>62</v>
      </c>
      <c r="AC16" s="29" t="s">
        <v>39</v>
      </c>
    </row>
    <row r="17" ht="94.5" spans="1:29">
      <c r="A17" s="15"/>
      <c r="B17" s="10" t="s">
        <v>59</v>
      </c>
      <c r="C17" s="11" t="s">
        <v>60</v>
      </c>
      <c r="D17" s="12">
        <v>5</v>
      </c>
      <c r="E17" s="12">
        <v>5</v>
      </c>
      <c r="F17" s="12">
        <v>5</v>
      </c>
      <c r="G17" s="12">
        <v>5</v>
      </c>
      <c r="H17" s="12">
        <v>5</v>
      </c>
      <c r="I17" s="12">
        <v>5</v>
      </c>
      <c r="J17" s="12">
        <v>5</v>
      </c>
      <c r="K17" s="13">
        <f t="shared" si="0"/>
        <v>35</v>
      </c>
      <c r="L17" s="12">
        <v>5</v>
      </c>
      <c r="M17" s="12">
        <v>5</v>
      </c>
      <c r="N17" s="12">
        <v>3</v>
      </c>
      <c r="O17" s="12">
        <v>5</v>
      </c>
      <c r="P17" s="12">
        <v>2</v>
      </c>
      <c r="Q17" s="12">
        <v>4</v>
      </c>
      <c r="R17" s="12">
        <v>4</v>
      </c>
      <c r="S17" s="12">
        <v>5</v>
      </c>
      <c r="T17" s="12">
        <v>5</v>
      </c>
      <c r="U17" s="12">
        <v>5</v>
      </c>
      <c r="V17" s="12">
        <v>5</v>
      </c>
      <c r="W17" s="12">
        <v>4</v>
      </c>
      <c r="X17" s="12">
        <v>3</v>
      </c>
      <c r="Y17" s="12">
        <v>4</v>
      </c>
      <c r="Z17" s="12">
        <v>3</v>
      </c>
      <c r="AA17" s="12">
        <v>4</v>
      </c>
      <c r="AB17" s="13">
        <f t="shared" si="1"/>
        <v>66</v>
      </c>
      <c r="AC17" s="29" t="s">
        <v>39</v>
      </c>
    </row>
    <row r="18" ht="94.5" spans="1:29">
      <c r="A18" s="15"/>
      <c r="B18" s="10" t="s">
        <v>61</v>
      </c>
      <c r="C18" s="11" t="s">
        <v>62</v>
      </c>
      <c r="D18" s="12">
        <v>5</v>
      </c>
      <c r="E18" s="12">
        <v>5</v>
      </c>
      <c r="F18" s="12">
        <v>5</v>
      </c>
      <c r="G18" s="12">
        <v>5</v>
      </c>
      <c r="H18" s="12">
        <v>5</v>
      </c>
      <c r="I18" s="12">
        <v>5</v>
      </c>
      <c r="J18" s="12">
        <v>5</v>
      </c>
      <c r="K18" s="13">
        <f t="shared" si="0"/>
        <v>35</v>
      </c>
      <c r="L18" s="12">
        <v>5</v>
      </c>
      <c r="M18" s="12">
        <v>5</v>
      </c>
      <c r="N18" s="12">
        <v>3</v>
      </c>
      <c r="O18" s="12">
        <v>5</v>
      </c>
      <c r="P18" s="12">
        <v>2</v>
      </c>
      <c r="Q18" s="12">
        <v>4</v>
      </c>
      <c r="R18" s="12">
        <v>4</v>
      </c>
      <c r="S18" s="12">
        <v>5</v>
      </c>
      <c r="T18" s="12">
        <v>5</v>
      </c>
      <c r="U18" s="12">
        <v>5</v>
      </c>
      <c r="V18" s="12">
        <v>5</v>
      </c>
      <c r="W18" s="12">
        <v>3</v>
      </c>
      <c r="X18" s="12">
        <v>2</v>
      </c>
      <c r="Y18" s="12">
        <v>3</v>
      </c>
      <c r="Z18" s="12">
        <v>3</v>
      </c>
      <c r="AA18" s="12">
        <v>3</v>
      </c>
      <c r="AB18" s="13">
        <f t="shared" si="1"/>
        <v>62</v>
      </c>
      <c r="AC18" s="28" t="s">
        <v>30</v>
      </c>
    </row>
    <row r="19" ht="135" spans="1:29">
      <c r="A19" s="15"/>
      <c r="B19" s="10" t="s">
        <v>63</v>
      </c>
      <c r="C19" s="11" t="s">
        <v>64</v>
      </c>
      <c r="D19" s="12">
        <v>4</v>
      </c>
      <c r="E19" s="12">
        <v>5</v>
      </c>
      <c r="F19" s="12">
        <v>5</v>
      </c>
      <c r="G19" s="12">
        <v>5</v>
      </c>
      <c r="H19" s="12">
        <v>5</v>
      </c>
      <c r="I19" s="12">
        <v>5</v>
      </c>
      <c r="J19" s="12">
        <v>5</v>
      </c>
      <c r="K19" s="13">
        <f t="shared" si="0"/>
        <v>34</v>
      </c>
      <c r="L19" s="12">
        <v>4</v>
      </c>
      <c r="M19" s="12">
        <v>5</v>
      </c>
      <c r="N19" s="12">
        <v>3</v>
      </c>
      <c r="O19" s="12">
        <v>5</v>
      </c>
      <c r="P19" s="12">
        <v>3</v>
      </c>
      <c r="Q19" s="12">
        <v>4</v>
      </c>
      <c r="R19" s="12">
        <v>4</v>
      </c>
      <c r="S19" s="12">
        <v>5</v>
      </c>
      <c r="T19" s="12">
        <v>5</v>
      </c>
      <c r="U19" s="12">
        <v>5</v>
      </c>
      <c r="V19" s="12">
        <v>5</v>
      </c>
      <c r="W19" s="12">
        <v>4</v>
      </c>
      <c r="X19" s="12">
        <v>3</v>
      </c>
      <c r="Y19" s="12">
        <v>4</v>
      </c>
      <c r="Z19" s="12">
        <v>3</v>
      </c>
      <c r="AA19" s="12">
        <v>4</v>
      </c>
      <c r="AB19" s="13">
        <f t="shared" si="1"/>
        <v>66</v>
      </c>
      <c r="AC19" s="28" t="s">
        <v>30</v>
      </c>
    </row>
    <row r="20" ht="94.5" spans="1:29">
      <c r="A20" s="15"/>
      <c r="B20" s="10" t="s">
        <v>65</v>
      </c>
      <c r="C20" s="11" t="s">
        <v>66</v>
      </c>
      <c r="D20" s="12">
        <v>5</v>
      </c>
      <c r="E20" s="12">
        <v>5</v>
      </c>
      <c r="F20" s="12">
        <v>5</v>
      </c>
      <c r="G20" s="12">
        <v>5</v>
      </c>
      <c r="H20" s="12">
        <v>5</v>
      </c>
      <c r="I20" s="12">
        <v>5</v>
      </c>
      <c r="J20" s="12">
        <v>5</v>
      </c>
      <c r="K20" s="13">
        <f t="shared" si="0"/>
        <v>35</v>
      </c>
      <c r="L20" s="12">
        <v>5</v>
      </c>
      <c r="M20" s="12">
        <v>5</v>
      </c>
      <c r="N20" s="12">
        <v>3</v>
      </c>
      <c r="O20" s="12">
        <v>5</v>
      </c>
      <c r="P20" s="12">
        <v>1</v>
      </c>
      <c r="Q20" s="12">
        <v>4</v>
      </c>
      <c r="R20" s="12">
        <v>4</v>
      </c>
      <c r="S20" s="12">
        <v>5</v>
      </c>
      <c r="T20" s="12">
        <v>5</v>
      </c>
      <c r="U20" s="12">
        <v>5</v>
      </c>
      <c r="V20" s="12">
        <v>5</v>
      </c>
      <c r="W20" s="12">
        <v>3</v>
      </c>
      <c r="X20" s="12">
        <v>2</v>
      </c>
      <c r="Y20" s="12">
        <v>3</v>
      </c>
      <c r="Z20" s="12">
        <v>3</v>
      </c>
      <c r="AA20" s="12">
        <v>3</v>
      </c>
      <c r="AB20" s="13">
        <f t="shared" si="1"/>
        <v>61</v>
      </c>
      <c r="AC20" s="28" t="s">
        <v>30</v>
      </c>
    </row>
    <row r="21" ht="121.5" spans="1:29">
      <c r="A21" s="15"/>
      <c r="B21" s="10" t="s">
        <v>67</v>
      </c>
      <c r="C21" s="11" t="s">
        <v>68</v>
      </c>
      <c r="D21" s="12">
        <v>4</v>
      </c>
      <c r="E21" s="12">
        <v>5</v>
      </c>
      <c r="F21" s="12">
        <v>5</v>
      </c>
      <c r="G21" s="12">
        <v>5</v>
      </c>
      <c r="H21" s="12">
        <v>5</v>
      </c>
      <c r="I21" s="12">
        <v>5</v>
      </c>
      <c r="J21" s="12">
        <v>5</v>
      </c>
      <c r="K21" s="13">
        <f t="shared" si="0"/>
        <v>34</v>
      </c>
      <c r="L21" s="12">
        <v>5</v>
      </c>
      <c r="M21" s="12">
        <v>5</v>
      </c>
      <c r="N21" s="12">
        <v>3</v>
      </c>
      <c r="O21" s="12">
        <v>5</v>
      </c>
      <c r="P21" s="12">
        <v>3</v>
      </c>
      <c r="Q21" s="12">
        <v>4</v>
      </c>
      <c r="R21" s="12">
        <v>4</v>
      </c>
      <c r="S21" s="12">
        <v>5</v>
      </c>
      <c r="T21" s="12">
        <v>5</v>
      </c>
      <c r="U21" s="12">
        <v>5</v>
      </c>
      <c r="V21" s="12">
        <v>5</v>
      </c>
      <c r="W21" s="12">
        <v>4</v>
      </c>
      <c r="X21" s="12">
        <v>3</v>
      </c>
      <c r="Y21" s="12">
        <v>4</v>
      </c>
      <c r="Z21" s="12">
        <v>3</v>
      </c>
      <c r="AA21" s="12">
        <v>4</v>
      </c>
      <c r="AB21" s="13">
        <f t="shared" ref="AB21:AB52" si="2">SUM(L21:AA21)</f>
        <v>67</v>
      </c>
      <c r="AC21" s="29" t="s">
        <v>39</v>
      </c>
    </row>
    <row r="22" ht="108" spans="1:29">
      <c r="A22" s="15"/>
      <c r="B22" s="10" t="s">
        <v>69</v>
      </c>
      <c r="C22" s="11" t="s">
        <v>70</v>
      </c>
      <c r="D22" s="12">
        <v>5</v>
      </c>
      <c r="E22" s="12">
        <v>5</v>
      </c>
      <c r="F22" s="12">
        <v>5</v>
      </c>
      <c r="G22" s="12">
        <v>5</v>
      </c>
      <c r="H22" s="12">
        <v>5</v>
      </c>
      <c r="I22" s="12">
        <v>5</v>
      </c>
      <c r="J22" s="12">
        <v>5</v>
      </c>
      <c r="K22" s="13">
        <f t="shared" si="0"/>
        <v>35</v>
      </c>
      <c r="L22" s="12">
        <v>5</v>
      </c>
      <c r="M22" s="12">
        <v>5</v>
      </c>
      <c r="N22" s="12">
        <v>3</v>
      </c>
      <c r="O22" s="12">
        <v>5</v>
      </c>
      <c r="P22" s="12">
        <v>1</v>
      </c>
      <c r="Q22" s="12">
        <v>4</v>
      </c>
      <c r="R22" s="12">
        <v>4</v>
      </c>
      <c r="S22" s="12">
        <v>5</v>
      </c>
      <c r="T22" s="12">
        <v>5</v>
      </c>
      <c r="U22" s="12">
        <v>5</v>
      </c>
      <c r="V22" s="12">
        <v>5</v>
      </c>
      <c r="W22" s="12">
        <v>2</v>
      </c>
      <c r="X22" s="12">
        <v>2</v>
      </c>
      <c r="Y22" s="12">
        <v>3</v>
      </c>
      <c r="Z22" s="12">
        <v>3</v>
      </c>
      <c r="AA22" s="12">
        <v>3</v>
      </c>
      <c r="AB22" s="13">
        <f t="shared" si="2"/>
        <v>60</v>
      </c>
      <c r="AC22" s="28" t="s">
        <v>30</v>
      </c>
    </row>
    <row r="23" ht="94.5" spans="1:29">
      <c r="A23" s="15"/>
      <c r="B23" s="10" t="s">
        <v>71</v>
      </c>
      <c r="C23" s="11" t="s">
        <v>72</v>
      </c>
      <c r="D23" s="12">
        <v>5</v>
      </c>
      <c r="E23" s="12">
        <v>5</v>
      </c>
      <c r="F23" s="12">
        <v>5</v>
      </c>
      <c r="G23" s="12">
        <v>5</v>
      </c>
      <c r="H23" s="12">
        <v>5</v>
      </c>
      <c r="I23" s="12">
        <v>5</v>
      </c>
      <c r="J23" s="12">
        <v>4</v>
      </c>
      <c r="K23" s="13">
        <f t="shared" si="0"/>
        <v>34</v>
      </c>
      <c r="L23" s="12">
        <v>5</v>
      </c>
      <c r="M23" s="12">
        <v>5</v>
      </c>
      <c r="N23" s="12">
        <v>3</v>
      </c>
      <c r="O23" s="12">
        <v>5</v>
      </c>
      <c r="P23" s="12">
        <v>1</v>
      </c>
      <c r="Q23" s="12">
        <v>4</v>
      </c>
      <c r="R23" s="12">
        <v>4</v>
      </c>
      <c r="S23" s="12">
        <v>5</v>
      </c>
      <c r="T23" s="12">
        <v>5</v>
      </c>
      <c r="U23" s="12">
        <v>5</v>
      </c>
      <c r="V23" s="12">
        <v>5</v>
      </c>
      <c r="W23" s="12">
        <v>2</v>
      </c>
      <c r="X23" s="12">
        <v>2</v>
      </c>
      <c r="Y23" s="12">
        <v>3</v>
      </c>
      <c r="Z23" s="12">
        <v>3</v>
      </c>
      <c r="AA23" s="12">
        <v>3</v>
      </c>
      <c r="AB23" s="13">
        <f t="shared" si="2"/>
        <v>60</v>
      </c>
      <c r="AC23" s="29" t="s">
        <v>39</v>
      </c>
    </row>
    <row r="24" ht="94.5" spans="1:29">
      <c r="A24" s="15"/>
      <c r="B24" s="10" t="s">
        <v>73</v>
      </c>
      <c r="C24" s="11" t="s">
        <v>74</v>
      </c>
      <c r="D24" s="12">
        <v>5</v>
      </c>
      <c r="E24" s="12">
        <v>5</v>
      </c>
      <c r="F24" s="12">
        <v>5</v>
      </c>
      <c r="G24" s="12">
        <v>5</v>
      </c>
      <c r="H24" s="12">
        <v>5</v>
      </c>
      <c r="I24" s="12">
        <v>5</v>
      </c>
      <c r="J24" s="12">
        <v>5</v>
      </c>
      <c r="K24" s="13">
        <f t="shared" si="0"/>
        <v>35</v>
      </c>
      <c r="L24" s="12">
        <v>5</v>
      </c>
      <c r="M24" s="12">
        <v>5</v>
      </c>
      <c r="N24" s="12">
        <v>3</v>
      </c>
      <c r="O24" s="12">
        <v>5</v>
      </c>
      <c r="P24" s="12">
        <v>3</v>
      </c>
      <c r="Q24" s="12">
        <v>5</v>
      </c>
      <c r="R24" s="12">
        <v>4</v>
      </c>
      <c r="S24" s="12">
        <v>5</v>
      </c>
      <c r="T24" s="12">
        <v>5</v>
      </c>
      <c r="U24" s="12">
        <v>5</v>
      </c>
      <c r="V24" s="12">
        <v>5</v>
      </c>
      <c r="W24" s="12">
        <v>2</v>
      </c>
      <c r="X24" s="12">
        <v>2</v>
      </c>
      <c r="Y24" s="12">
        <v>4</v>
      </c>
      <c r="Z24" s="12">
        <v>3</v>
      </c>
      <c r="AA24" s="12">
        <v>4</v>
      </c>
      <c r="AB24" s="13">
        <f t="shared" si="2"/>
        <v>65</v>
      </c>
      <c r="AC24" s="29" t="s">
        <v>39</v>
      </c>
    </row>
    <row r="25" ht="195" customHeight="1" spans="1:29">
      <c r="A25" s="15"/>
      <c r="B25" s="10" t="s">
        <v>75</v>
      </c>
      <c r="C25" s="11" t="s">
        <v>76</v>
      </c>
      <c r="D25" s="12">
        <v>5</v>
      </c>
      <c r="E25" s="12">
        <v>5</v>
      </c>
      <c r="F25" s="12">
        <v>5</v>
      </c>
      <c r="G25" s="12">
        <v>5</v>
      </c>
      <c r="H25" s="12">
        <v>5</v>
      </c>
      <c r="I25" s="12">
        <v>5</v>
      </c>
      <c r="J25" s="12">
        <v>4</v>
      </c>
      <c r="K25" s="13">
        <f t="shared" si="0"/>
        <v>34</v>
      </c>
      <c r="L25" s="12">
        <v>5</v>
      </c>
      <c r="M25" s="12">
        <v>5</v>
      </c>
      <c r="N25" s="12">
        <v>3</v>
      </c>
      <c r="O25" s="12">
        <v>5</v>
      </c>
      <c r="P25" s="12">
        <v>2</v>
      </c>
      <c r="Q25" s="12">
        <v>5</v>
      </c>
      <c r="R25" s="12">
        <v>4</v>
      </c>
      <c r="S25" s="12">
        <v>5</v>
      </c>
      <c r="T25" s="12">
        <v>5</v>
      </c>
      <c r="U25" s="12">
        <v>5</v>
      </c>
      <c r="V25" s="12">
        <v>5</v>
      </c>
      <c r="W25" s="12">
        <v>3</v>
      </c>
      <c r="X25" s="12">
        <v>2</v>
      </c>
      <c r="Y25" s="12">
        <v>3</v>
      </c>
      <c r="Z25" s="12">
        <v>3</v>
      </c>
      <c r="AA25" s="12">
        <v>3</v>
      </c>
      <c r="AB25" s="13">
        <f t="shared" si="2"/>
        <v>63</v>
      </c>
      <c r="AC25" s="28" t="s">
        <v>30</v>
      </c>
    </row>
    <row r="26" ht="208" customHeight="1" spans="1:29">
      <c r="A26" s="15"/>
      <c r="B26" s="10" t="s">
        <v>77</v>
      </c>
      <c r="C26" s="11" t="s">
        <v>78</v>
      </c>
      <c r="D26" s="12">
        <v>5</v>
      </c>
      <c r="E26" s="12">
        <v>5</v>
      </c>
      <c r="F26" s="12">
        <v>5</v>
      </c>
      <c r="G26" s="12">
        <v>5</v>
      </c>
      <c r="H26" s="12">
        <v>5</v>
      </c>
      <c r="I26" s="12">
        <v>5</v>
      </c>
      <c r="J26" s="12">
        <v>4</v>
      </c>
      <c r="K26" s="13">
        <f t="shared" si="0"/>
        <v>34</v>
      </c>
      <c r="L26" s="12">
        <v>5</v>
      </c>
      <c r="M26" s="12">
        <v>5</v>
      </c>
      <c r="N26" s="12">
        <v>3</v>
      </c>
      <c r="O26" s="12">
        <v>5</v>
      </c>
      <c r="P26" s="12">
        <v>3</v>
      </c>
      <c r="Q26" s="12">
        <v>5</v>
      </c>
      <c r="R26" s="12">
        <v>4</v>
      </c>
      <c r="S26" s="12">
        <v>5</v>
      </c>
      <c r="T26" s="12">
        <v>5</v>
      </c>
      <c r="U26" s="12">
        <v>5</v>
      </c>
      <c r="V26" s="12">
        <v>5</v>
      </c>
      <c r="W26" s="12">
        <v>3</v>
      </c>
      <c r="X26" s="12">
        <v>3</v>
      </c>
      <c r="Y26" s="12">
        <v>4</v>
      </c>
      <c r="Z26" s="12">
        <v>3</v>
      </c>
      <c r="AA26" s="12">
        <v>4</v>
      </c>
      <c r="AB26" s="13">
        <f t="shared" si="2"/>
        <v>67</v>
      </c>
      <c r="AC26" s="28" t="s">
        <v>30</v>
      </c>
    </row>
    <row r="27" ht="131" customHeight="1" spans="1:29">
      <c r="A27" s="15"/>
      <c r="B27" s="10" t="s">
        <v>79</v>
      </c>
      <c r="C27" s="11" t="s">
        <v>80</v>
      </c>
      <c r="D27" s="12">
        <v>5</v>
      </c>
      <c r="E27" s="12">
        <v>5</v>
      </c>
      <c r="F27" s="12">
        <v>5</v>
      </c>
      <c r="G27" s="12">
        <v>5</v>
      </c>
      <c r="H27" s="12">
        <v>5</v>
      </c>
      <c r="I27" s="12">
        <v>5</v>
      </c>
      <c r="J27" s="12">
        <v>5</v>
      </c>
      <c r="K27" s="13">
        <f t="shared" si="0"/>
        <v>35</v>
      </c>
      <c r="L27" s="12">
        <v>5</v>
      </c>
      <c r="M27" s="12">
        <v>5</v>
      </c>
      <c r="N27" s="12">
        <v>2</v>
      </c>
      <c r="O27" s="12">
        <v>5</v>
      </c>
      <c r="P27" s="12">
        <v>1</v>
      </c>
      <c r="Q27" s="12">
        <v>5</v>
      </c>
      <c r="R27" s="12">
        <v>4</v>
      </c>
      <c r="S27" s="12">
        <v>5</v>
      </c>
      <c r="T27" s="12">
        <v>5</v>
      </c>
      <c r="U27" s="12">
        <v>5</v>
      </c>
      <c r="V27" s="12">
        <v>5</v>
      </c>
      <c r="W27" s="12">
        <v>4</v>
      </c>
      <c r="X27" s="12">
        <v>2</v>
      </c>
      <c r="Y27" s="12">
        <v>3</v>
      </c>
      <c r="Z27" s="12">
        <v>3</v>
      </c>
      <c r="AA27" s="12">
        <v>3</v>
      </c>
      <c r="AB27" s="13">
        <f t="shared" si="2"/>
        <v>62</v>
      </c>
      <c r="AC27" s="28" t="s">
        <v>30</v>
      </c>
    </row>
    <row r="28" ht="216" spans="1:29">
      <c r="A28" s="9" t="s">
        <v>81</v>
      </c>
      <c r="B28" s="10" t="s">
        <v>82</v>
      </c>
      <c r="C28" s="11" t="s">
        <v>83</v>
      </c>
      <c r="D28" s="12">
        <v>5</v>
      </c>
      <c r="E28" s="12">
        <v>5</v>
      </c>
      <c r="F28" s="12">
        <v>5</v>
      </c>
      <c r="G28" s="12">
        <v>5</v>
      </c>
      <c r="H28" s="12">
        <v>5</v>
      </c>
      <c r="I28" s="12">
        <v>5</v>
      </c>
      <c r="J28" s="12">
        <v>5</v>
      </c>
      <c r="K28" s="13">
        <f t="shared" si="0"/>
        <v>35</v>
      </c>
      <c r="L28" s="12">
        <v>5</v>
      </c>
      <c r="M28" s="12">
        <v>5</v>
      </c>
      <c r="N28" s="12">
        <v>2</v>
      </c>
      <c r="O28" s="12">
        <v>5</v>
      </c>
      <c r="P28" s="12">
        <v>2</v>
      </c>
      <c r="Q28" s="12">
        <v>5</v>
      </c>
      <c r="R28" s="12">
        <v>4</v>
      </c>
      <c r="S28" s="12">
        <v>5</v>
      </c>
      <c r="T28" s="12">
        <v>5</v>
      </c>
      <c r="U28" s="12">
        <v>5</v>
      </c>
      <c r="V28" s="12">
        <v>5</v>
      </c>
      <c r="W28" s="12">
        <v>4</v>
      </c>
      <c r="X28" s="12">
        <v>3</v>
      </c>
      <c r="Y28" s="12">
        <v>4</v>
      </c>
      <c r="Z28" s="12">
        <v>3</v>
      </c>
      <c r="AA28" s="12">
        <v>4</v>
      </c>
      <c r="AB28" s="13">
        <f t="shared" si="2"/>
        <v>66</v>
      </c>
      <c r="AC28" s="28" t="s">
        <v>30</v>
      </c>
    </row>
    <row r="29" ht="108" spans="1:29">
      <c r="A29" s="15"/>
      <c r="B29" s="10" t="s">
        <v>84</v>
      </c>
      <c r="C29" s="11" t="s">
        <v>85</v>
      </c>
      <c r="D29" s="12">
        <v>5</v>
      </c>
      <c r="E29" s="12">
        <v>5</v>
      </c>
      <c r="F29" s="12">
        <v>5</v>
      </c>
      <c r="G29" s="12">
        <v>5</v>
      </c>
      <c r="H29" s="12">
        <v>5</v>
      </c>
      <c r="I29" s="12">
        <v>5</v>
      </c>
      <c r="J29" s="12">
        <v>4</v>
      </c>
      <c r="K29" s="13">
        <f t="shared" si="0"/>
        <v>34</v>
      </c>
      <c r="L29" s="12">
        <v>5</v>
      </c>
      <c r="M29" s="12">
        <v>5</v>
      </c>
      <c r="N29" s="12">
        <v>3</v>
      </c>
      <c r="O29" s="12">
        <v>5</v>
      </c>
      <c r="P29" s="12">
        <v>3</v>
      </c>
      <c r="Q29" s="12">
        <v>5</v>
      </c>
      <c r="R29" s="12">
        <v>4</v>
      </c>
      <c r="S29" s="12">
        <v>5</v>
      </c>
      <c r="T29" s="12">
        <v>5</v>
      </c>
      <c r="U29" s="12">
        <v>5</v>
      </c>
      <c r="V29" s="12">
        <v>5</v>
      </c>
      <c r="W29" s="12">
        <v>4</v>
      </c>
      <c r="X29" s="12">
        <v>3</v>
      </c>
      <c r="Y29" s="12">
        <v>4</v>
      </c>
      <c r="Z29" s="12">
        <v>3</v>
      </c>
      <c r="AA29" s="12">
        <v>4</v>
      </c>
      <c r="AB29" s="13">
        <f t="shared" si="2"/>
        <v>68</v>
      </c>
      <c r="AC29" s="28" t="s">
        <v>30</v>
      </c>
    </row>
    <row r="30" ht="135" spans="1:29">
      <c r="A30" s="15"/>
      <c r="B30" s="10" t="s">
        <v>86</v>
      </c>
      <c r="C30" s="11" t="s">
        <v>87</v>
      </c>
      <c r="D30" s="12">
        <v>5</v>
      </c>
      <c r="E30" s="12">
        <v>5</v>
      </c>
      <c r="F30" s="12">
        <v>5</v>
      </c>
      <c r="G30" s="12">
        <v>5</v>
      </c>
      <c r="H30" s="12">
        <v>5</v>
      </c>
      <c r="I30" s="12">
        <v>5</v>
      </c>
      <c r="J30" s="12">
        <v>5</v>
      </c>
      <c r="K30" s="13">
        <f t="shared" si="0"/>
        <v>35</v>
      </c>
      <c r="L30" s="12">
        <v>5</v>
      </c>
      <c r="M30" s="12">
        <v>5</v>
      </c>
      <c r="N30" s="12">
        <v>3</v>
      </c>
      <c r="O30" s="12">
        <v>5</v>
      </c>
      <c r="P30" s="12">
        <v>3</v>
      </c>
      <c r="Q30" s="12">
        <v>5</v>
      </c>
      <c r="R30" s="12">
        <v>4</v>
      </c>
      <c r="S30" s="12">
        <v>5</v>
      </c>
      <c r="T30" s="12">
        <v>5</v>
      </c>
      <c r="U30" s="12">
        <v>5</v>
      </c>
      <c r="V30" s="12">
        <v>5</v>
      </c>
      <c r="W30" s="12">
        <v>4</v>
      </c>
      <c r="X30" s="12">
        <v>3</v>
      </c>
      <c r="Y30" s="12">
        <v>4</v>
      </c>
      <c r="Z30" s="12">
        <v>3</v>
      </c>
      <c r="AA30" s="12">
        <v>4</v>
      </c>
      <c r="AB30" s="13">
        <f t="shared" si="2"/>
        <v>68</v>
      </c>
      <c r="AC30" s="28" t="s">
        <v>30</v>
      </c>
    </row>
    <row r="31" ht="135" spans="1:29">
      <c r="A31" s="15"/>
      <c r="B31" s="10" t="s">
        <v>88</v>
      </c>
      <c r="C31" s="11" t="s">
        <v>89</v>
      </c>
      <c r="D31" s="12">
        <v>5</v>
      </c>
      <c r="E31" s="12">
        <v>5</v>
      </c>
      <c r="F31" s="12">
        <v>5</v>
      </c>
      <c r="G31" s="12">
        <v>5</v>
      </c>
      <c r="H31" s="12">
        <v>5</v>
      </c>
      <c r="I31" s="12">
        <v>5</v>
      </c>
      <c r="J31" s="12">
        <v>4</v>
      </c>
      <c r="K31" s="13">
        <f t="shared" si="0"/>
        <v>34</v>
      </c>
      <c r="L31" s="12">
        <v>5</v>
      </c>
      <c r="M31" s="12">
        <v>5</v>
      </c>
      <c r="N31" s="12">
        <v>3</v>
      </c>
      <c r="O31" s="12">
        <v>5</v>
      </c>
      <c r="P31" s="12">
        <v>3</v>
      </c>
      <c r="Q31" s="12">
        <v>5</v>
      </c>
      <c r="R31" s="12">
        <v>4</v>
      </c>
      <c r="S31" s="12">
        <v>5</v>
      </c>
      <c r="T31" s="12">
        <v>5</v>
      </c>
      <c r="U31" s="12">
        <v>5</v>
      </c>
      <c r="V31" s="12">
        <v>5</v>
      </c>
      <c r="W31" s="12">
        <v>3</v>
      </c>
      <c r="X31" s="12">
        <v>3</v>
      </c>
      <c r="Y31" s="12">
        <v>4</v>
      </c>
      <c r="Z31" s="12">
        <v>3</v>
      </c>
      <c r="AA31" s="12">
        <v>4</v>
      </c>
      <c r="AB31" s="13">
        <f t="shared" si="2"/>
        <v>67</v>
      </c>
      <c r="AC31" s="28" t="s">
        <v>30</v>
      </c>
    </row>
    <row r="32" ht="162" spans="1:29">
      <c r="A32" s="15"/>
      <c r="B32" s="10" t="s">
        <v>90</v>
      </c>
      <c r="C32" s="11" t="s">
        <v>91</v>
      </c>
      <c r="D32" s="12">
        <v>5</v>
      </c>
      <c r="E32" s="12">
        <v>5</v>
      </c>
      <c r="F32" s="12">
        <v>5</v>
      </c>
      <c r="G32" s="12">
        <v>5</v>
      </c>
      <c r="H32" s="12">
        <v>5</v>
      </c>
      <c r="I32" s="12">
        <v>5</v>
      </c>
      <c r="J32" s="12">
        <v>5</v>
      </c>
      <c r="K32" s="13">
        <f t="shared" si="0"/>
        <v>35</v>
      </c>
      <c r="L32" s="12">
        <v>5</v>
      </c>
      <c r="M32" s="12">
        <v>5</v>
      </c>
      <c r="N32" s="12">
        <v>2</v>
      </c>
      <c r="O32" s="12">
        <v>5</v>
      </c>
      <c r="P32" s="12">
        <v>2</v>
      </c>
      <c r="Q32" s="12">
        <v>5</v>
      </c>
      <c r="R32" s="12">
        <v>4</v>
      </c>
      <c r="S32" s="12">
        <v>5</v>
      </c>
      <c r="T32" s="12">
        <v>5</v>
      </c>
      <c r="U32" s="12">
        <v>5</v>
      </c>
      <c r="V32" s="12">
        <v>5</v>
      </c>
      <c r="W32" s="12">
        <v>3</v>
      </c>
      <c r="X32" s="12">
        <v>3</v>
      </c>
      <c r="Y32" s="12">
        <v>4</v>
      </c>
      <c r="Z32" s="12">
        <v>3</v>
      </c>
      <c r="AA32" s="12">
        <v>4</v>
      </c>
      <c r="AB32" s="13">
        <f t="shared" si="2"/>
        <v>65</v>
      </c>
      <c r="AC32" s="29" t="s">
        <v>39</v>
      </c>
    </row>
    <row r="33" ht="162" spans="1:29">
      <c r="A33" s="15"/>
      <c r="B33" s="10" t="s">
        <v>92</v>
      </c>
      <c r="C33" s="11" t="s">
        <v>93</v>
      </c>
      <c r="D33" s="12">
        <v>5</v>
      </c>
      <c r="E33" s="12">
        <v>5</v>
      </c>
      <c r="F33" s="12">
        <v>5</v>
      </c>
      <c r="G33" s="12">
        <v>5</v>
      </c>
      <c r="H33" s="12">
        <v>5</v>
      </c>
      <c r="I33" s="12">
        <v>5</v>
      </c>
      <c r="J33" s="12">
        <v>5</v>
      </c>
      <c r="K33" s="13">
        <f t="shared" si="0"/>
        <v>35</v>
      </c>
      <c r="L33" s="12">
        <v>5</v>
      </c>
      <c r="M33" s="12">
        <v>5</v>
      </c>
      <c r="N33" s="12">
        <v>2</v>
      </c>
      <c r="O33" s="12">
        <v>5</v>
      </c>
      <c r="P33" s="12">
        <v>3</v>
      </c>
      <c r="Q33" s="12">
        <v>5</v>
      </c>
      <c r="R33" s="12">
        <v>4</v>
      </c>
      <c r="S33" s="12">
        <v>5</v>
      </c>
      <c r="T33" s="12">
        <v>5</v>
      </c>
      <c r="U33" s="12">
        <v>5</v>
      </c>
      <c r="V33" s="12">
        <v>5</v>
      </c>
      <c r="W33" s="12">
        <v>2</v>
      </c>
      <c r="X33" s="12">
        <v>3</v>
      </c>
      <c r="Y33" s="12">
        <v>4</v>
      </c>
      <c r="Z33" s="12">
        <v>3</v>
      </c>
      <c r="AA33" s="12">
        <v>4</v>
      </c>
      <c r="AB33" s="13">
        <f t="shared" si="2"/>
        <v>65</v>
      </c>
      <c r="AC33" s="29" t="s">
        <v>39</v>
      </c>
    </row>
    <row r="34" ht="175.5" spans="1:29">
      <c r="A34" s="15"/>
      <c r="B34" s="10" t="s">
        <v>94</v>
      </c>
      <c r="C34" s="11" t="s">
        <v>95</v>
      </c>
      <c r="D34" s="12">
        <v>5</v>
      </c>
      <c r="E34" s="12">
        <v>5</v>
      </c>
      <c r="F34" s="12">
        <v>5</v>
      </c>
      <c r="G34" s="12">
        <v>5</v>
      </c>
      <c r="H34" s="12">
        <v>5</v>
      </c>
      <c r="I34" s="12">
        <v>5</v>
      </c>
      <c r="J34" s="12">
        <v>5</v>
      </c>
      <c r="K34" s="13">
        <f t="shared" si="0"/>
        <v>35</v>
      </c>
      <c r="L34" s="12">
        <v>5</v>
      </c>
      <c r="M34" s="12">
        <v>5</v>
      </c>
      <c r="N34" s="12">
        <v>2</v>
      </c>
      <c r="O34" s="12">
        <v>5</v>
      </c>
      <c r="P34" s="12">
        <v>3</v>
      </c>
      <c r="Q34" s="12">
        <v>5</v>
      </c>
      <c r="R34" s="12">
        <v>4</v>
      </c>
      <c r="S34" s="12">
        <v>5</v>
      </c>
      <c r="T34" s="12">
        <v>5</v>
      </c>
      <c r="U34" s="12">
        <v>5</v>
      </c>
      <c r="V34" s="12">
        <v>5</v>
      </c>
      <c r="W34" s="12">
        <v>2</v>
      </c>
      <c r="X34" s="12">
        <v>3</v>
      </c>
      <c r="Y34" s="12">
        <v>4</v>
      </c>
      <c r="Z34" s="12">
        <v>3</v>
      </c>
      <c r="AA34" s="12">
        <v>4</v>
      </c>
      <c r="AB34" s="13">
        <f t="shared" si="2"/>
        <v>65</v>
      </c>
      <c r="AC34" s="29" t="s">
        <v>39</v>
      </c>
    </row>
    <row r="35" ht="162" spans="1:29">
      <c r="A35" s="15"/>
      <c r="B35" s="10" t="s">
        <v>96</v>
      </c>
      <c r="C35" s="11" t="s">
        <v>97</v>
      </c>
      <c r="D35" s="12">
        <v>5</v>
      </c>
      <c r="E35" s="12">
        <v>5</v>
      </c>
      <c r="F35" s="12">
        <v>5</v>
      </c>
      <c r="G35" s="12">
        <v>5</v>
      </c>
      <c r="H35" s="12">
        <v>5</v>
      </c>
      <c r="I35" s="12">
        <v>5</v>
      </c>
      <c r="J35" s="12">
        <v>5</v>
      </c>
      <c r="K35" s="13">
        <f t="shared" si="0"/>
        <v>35</v>
      </c>
      <c r="L35" s="12">
        <v>5</v>
      </c>
      <c r="M35" s="12">
        <v>5</v>
      </c>
      <c r="N35" s="12">
        <v>2</v>
      </c>
      <c r="O35" s="12">
        <v>5</v>
      </c>
      <c r="P35" s="12">
        <v>3</v>
      </c>
      <c r="Q35" s="12">
        <v>5</v>
      </c>
      <c r="R35" s="12">
        <v>4</v>
      </c>
      <c r="S35" s="12">
        <v>5</v>
      </c>
      <c r="T35" s="12">
        <v>5</v>
      </c>
      <c r="U35" s="12">
        <v>5</v>
      </c>
      <c r="V35" s="12">
        <v>5</v>
      </c>
      <c r="W35" s="12">
        <v>2</v>
      </c>
      <c r="X35" s="12">
        <v>2</v>
      </c>
      <c r="Y35" s="12">
        <v>4</v>
      </c>
      <c r="Z35" s="12">
        <v>3</v>
      </c>
      <c r="AA35" s="12">
        <v>4</v>
      </c>
      <c r="AB35" s="13">
        <f t="shared" si="2"/>
        <v>64</v>
      </c>
      <c r="AC35" s="29" t="s">
        <v>39</v>
      </c>
    </row>
    <row r="36" ht="279" customHeight="1" spans="1:29">
      <c r="A36" s="15"/>
      <c r="B36" s="10" t="s">
        <v>98</v>
      </c>
      <c r="C36" s="11" t="s">
        <v>99</v>
      </c>
      <c r="D36" s="12">
        <v>5</v>
      </c>
      <c r="E36" s="12">
        <v>5</v>
      </c>
      <c r="F36" s="12">
        <v>5</v>
      </c>
      <c r="G36" s="12">
        <v>5</v>
      </c>
      <c r="H36" s="12">
        <v>5</v>
      </c>
      <c r="I36" s="12">
        <v>5</v>
      </c>
      <c r="J36" s="12">
        <v>5</v>
      </c>
      <c r="K36" s="13">
        <f t="shared" si="0"/>
        <v>35</v>
      </c>
      <c r="L36" s="12">
        <v>5</v>
      </c>
      <c r="M36" s="12">
        <v>5</v>
      </c>
      <c r="N36" s="12">
        <v>2</v>
      </c>
      <c r="O36" s="12">
        <v>5</v>
      </c>
      <c r="P36" s="12">
        <v>3</v>
      </c>
      <c r="Q36" s="12">
        <v>5</v>
      </c>
      <c r="R36" s="12">
        <v>4</v>
      </c>
      <c r="S36" s="12">
        <v>5</v>
      </c>
      <c r="T36" s="12">
        <v>5</v>
      </c>
      <c r="U36" s="12">
        <v>5</v>
      </c>
      <c r="V36" s="12">
        <v>5</v>
      </c>
      <c r="W36" s="12">
        <v>2</v>
      </c>
      <c r="X36" s="12">
        <v>2</v>
      </c>
      <c r="Y36" s="12">
        <v>4</v>
      </c>
      <c r="Z36" s="12">
        <v>3</v>
      </c>
      <c r="AA36" s="12">
        <v>4</v>
      </c>
      <c r="AB36" s="13">
        <f t="shared" si="2"/>
        <v>64</v>
      </c>
      <c r="AC36" s="29" t="s">
        <v>39</v>
      </c>
    </row>
    <row r="37" ht="175.5" spans="1:29">
      <c r="A37" s="15"/>
      <c r="B37" s="10" t="s">
        <v>100</v>
      </c>
      <c r="C37" s="11" t="s">
        <v>101</v>
      </c>
      <c r="D37" s="12">
        <v>5</v>
      </c>
      <c r="E37" s="12">
        <v>5</v>
      </c>
      <c r="F37" s="12">
        <v>5</v>
      </c>
      <c r="G37" s="12">
        <v>5</v>
      </c>
      <c r="H37" s="12">
        <v>5</v>
      </c>
      <c r="I37" s="12">
        <v>5</v>
      </c>
      <c r="J37" s="12">
        <v>5</v>
      </c>
      <c r="K37" s="13">
        <f t="shared" si="0"/>
        <v>35</v>
      </c>
      <c r="L37" s="12">
        <v>5</v>
      </c>
      <c r="M37" s="12">
        <v>5</v>
      </c>
      <c r="N37" s="12">
        <v>2</v>
      </c>
      <c r="O37" s="12">
        <v>5</v>
      </c>
      <c r="P37" s="12">
        <v>3</v>
      </c>
      <c r="Q37" s="12">
        <v>5</v>
      </c>
      <c r="R37" s="12">
        <v>4</v>
      </c>
      <c r="S37" s="12">
        <v>5</v>
      </c>
      <c r="T37" s="12">
        <v>5</v>
      </c>
      <c r="U37" s="12">
        <v>5</v>
      </c>
      <c r="V37" s="12">
        <v>5</v>
      </c>
      <c r="W37" s="12">
        <v>2</v>
      </c>
      <c r="X37" s="12">
        <v>3</v>
      </c>
      <c r="Y37" s="12">
        <v>4</v>
      </c>
      <c r="Z37" s="12">
        <v>3</v>
      </c>
      <c r="AA37" s="12">
        <v>4</v>
      </c>
      <c r="AB37" s="13">
        <f t="shared" si="2"/>
        <v>65</v>
      </c>
      <c r="AC37" s="28" t="s">
        <v>30</v>
      </c>
    </row>
    <row r="38" ht="121.5" spans="1:29">
      <c r="A38" s="15"/>
      <c r="B38" s="10" t="s">
        <v>102</v>
      </c>
      <c r="C38" s="11" t="s">
        <v>103</v>
      </c>
      <c r="D38" s="12">
        <v>5</v>
      </c>
      <c r="E38" s="12">
        <v>5</v>
      </c>
      <c r="F38" s="12">
        <v>5</v>
      </c>
      <c r="G38" s="12">
        <v>5</v>
      </c>
      <c r="H38" s="12">
        <v>5</v>
      </c>
      <c r="I38" s="12">
        <v>5</v>
      </c>
      <c r="J38" s="12">
        <v>5</v>
      </c>
      <c r="K38" s="13">
        <f t="shared" si="0"/>
        <v>35</v>
      </c>
      <c r="L38" s="12">
        <v>5</v>
      </c>
      <c r="M38" s="12">
        <v>5</v>
      </c>
      <c r="N38" s="12">
        <v>3</v>
      </c>
      <c r="O38" s="12">
        <v>5</v>
      </c>
      <c r="P38" s="12">
        <v>3</v>
      </c>
      <c r="Q38" s="12">
        <v>5</v>
      </c>
      <c r="R38" s="12">
        <v>4</v>
      </c>
      <c r="S38" s="12">
        <v>5</v>
      </c>
      <c r="T38" s="12">
        <v>5</v>
      </c>
      <c r="U38" s="12">
        <v>5</v>
      </c>
      <c r="V38" s="12">
        <v>5</v>
      </c>
      <c r="W38" s="12">
        <v>4</v>
      </c>
      <c r="X38" s="12">
        <v>3</v>
      </c>
      <c r="Y38" s="12">
        <v>4</v>
      </c>
      <c r="Z38" s="12">
        <v>3</v>
      </c>
      <c r="AA38" s="12">
        <v>4</v>
      </c>
      <c r="AB38" s="13">
        <f t="shared" si="2"/>
        <v>68</v>
      </c>
      <c r="AC38" s="28" t="s">
        <v>30</v>
      </c>
    </row>
    <row r="39" ht="182" customHeight="1" spans="1:29">
      <c r="A39" s="15"/>
      <c r="B39" s="10" t="s">
        <v>104</v>
      </c>
      <c r="C39" s="11" t="s">
        <v>105</v>
      </c>
      <c r="D39" s="12">
        <v>5</v>
      </c>
      <c r="E39" s="12">
        <v>5</v>
      </c>
      <c r="F39" s="12">
        <v>5</v>
      </c>
      <c r="G39" s="12">
        <v>5</v>
      </c>
      <c r="H39" s="12">
        <v>5</v>
      </c>
      <c r="I39" s="12">
        <v>5</v>
      </c>
      <c r="J39" s="12">
        <v>5</v>
      </c>
      <c r="K39" s="13">
        <f t="shared" si="0"/>
        <v>35</v>
      </c>
      <c r="L39" s="12">
        <v>5</v>
      </c>
      <c r="M39" s="12">
        <v>5</v>
      </c>
      <c r="N39" s="12">
        <v>3</v>
      </c>
      <c r="O39" s="12">
        <v>5</v>
      </c>
      <c r="P39" s="12">
        <v>3</v>
      </c>
      <c r="Q39" s="12">
        <v>5</v>
      </c>
      <c r="R39" s="12">
        <v>4</v>
      </c>
      <c r="S39" s="12">
        <v>5</v>
      </c>
      <c r="T39" s="12">
        <v>5</v>
      </c>
      <c r="U39" s="12">
        <v>5</v>
      </c>
      <c r="V39" s="12">
        <v>5</v>
      </c>
      <c r="W39" s="12">
        <v>4</v>
      </c>
      <c r="X39" s="12">
        <v>3</v>
      </c>
      <c r="Y39" s="12">
        <v>4</v>
      </c>
      <c r="Z39" s="12">
        <v>3</v>
      </c>
      <c r="AA39" s="12">
        <v>5</v>
      </c>
      <c r="AB39" s="13">
        <f t="shared" si="2"/>
        <v>69</v>
      </c>
      <c r="AC39" s="28" t="s">
        <v>30</v>
      </c>
    </row>
    <row r="40" ht="150" customHeight="1" spans="1:29">
      <c r="A40" s="15"/>
      <c r="B40" s="10" t="s">
        <v>106</v>
      </c>
      <c r="C40" s="11" t="s">
        <v>107</v>
      </c>
      <c r="D40" s="12">
        <v>5</v>
      </c>
      <c r="E40" s="12">
        <v>5</v>
      </c>
      <c r="F40" s="12">
        <v>5</v>
      </c>
      <c r="G40" s="12">
        <v>5</v>
      </c>
      <c r="H40" s="12">
        <v>5</v>
      </c>
      <c r="I40" s="12">
        <v>5</v>
      </c>
      <c r="J40" s="12">
        <v>5</v>
      </c>
      <c r="K40" s="13">
        <f t="shared" si="0"/>
        <v>35</v>
      </c>
      <c r="L40" s="12">
        <v>5</v>
      </c>
      <c r="M40" s="12">
        <v>5</v>
      </c>
      <c r="N40" s="12">
        <v>3</v>
      </c>
      <c r="O40" s="12">
        <v>5</v>
      </c>
      <c r="P40" s="12">
        <v>3</v>
      </c>
      <c r="Q40" s="12">
        <v>5</v>
      </c>
      <c r="R40" s="12">
        <v>4</v>
      </c>
      <c r="S40" s="12">
        <v>5</v>
      </c>
      <c r="T40" s="12">
        <v>5</v>
      </c>
      <c r="U40" s="12">
        <v>5</v>
      </c>
      <c r="V40" s="12">
        <v>5</v>
      </c>
      <c r="W40" s="12">
        <v>4</v>
      </c>
      <c r="X40" s="12">
        <v>3</v>
      </c>
      <c r="Y40" s="12">
        <v>4</v>
      </c>
      <c r="Z40" s="12">
        <v>3</v>
      </c>
      <c r="AA40" s="12">
        <v>4</v>
      </c>
      <c r="AB40" s="13">
        <f t="shared" si="2"/>
        <v>68</v>
      </c>
      <c r="AC40" s="29" t="s">
        <v>39</v>
      </c>
    </row>
    <row r="41" ht="143" customHeight="1" spans="1:29">
      <c r="A41" s="15"/>
      <c r="B41" s="10" t="s">
        <v>108</v>
      </c>
      <c r="C41" s="11" t="s">
        <v>109</v>
      </c>
      <c r="D41" s="12">
        <v>5</v>
      </c>
      <c r="E41" s="12">
        <v>5</v>
      </c>
      <c r="F41" s="12">
        <v>5</v>
      </c>
      <c r="G41" s="12">
        <v>5</v>
      </c>
      <c r="H41" s="12">
        <v>5</v>
      </c>
      <c r="I41" s="12">
        <v>5</v>
      </c>
      <c r="J41" s="12">
        <v>5</v>
      </c>
      <c r="K41" s="13">
        <f t="shared" si="0"/>
        <v>35</v>
      </c>
      <c r="L41" s="12">
        <v>5</v>
      </c>
      <c r="M41" s="12">
        <v>5</v>
      </c>
      <c r="N41" s="12">
        <v>3</v>
      </c>
      <c r="O41" s="12">
        <v>5</v>
      </c>
      <c r="P41" s="12">
        <v>3</v>
      </c>
      <c r="Q41" s="12">
        <v>5</v>
      </c>
      <c r="R41" s="12">
        <v>4</v>
      </c>
      <c r="S41" s="12">
        <v>5</v>
      </c>
      <c r="T41" s="12">
        <v>5</v>
      </c>
      <c r="U41" s="12">
        <v>5</v>
      </c>
      <c r="V41" s="12">
        <v>5</v>
      </c>
      <c r="W41" s="12">
        <v>4</v>
      </c>
      <c r="X41" s="12">
        <v>3</v>
      </c>
      <c r="Y41" s="12">
        <v>4</v>
      </c>
      <c r="Z41" s="12">
        <v>3</v>
      </c>
      <c r="AA41" s="12">
        <v>4</v>
      </c>
      <c r="AB41" s="13">
        <f t="shared" si="2"/>
        <v>68</v>
      </c>
      <c r="AC41" s="29" t="s">
        <v>39</v>
      </c>
    </row>
    <row r="42" ht="108" spans="1:29">
      <c r="A42" s="15" t="s">
        <v>110</v>
      </c>
      <c r="B42" s="10" t="s">
        <v>111</v>
      </c>
      <c r="C42" s="11" t="s">
        <v>112</v>
      </c>
      <c r="D42" s="12">
        <v>5</v>
      </c>
      <c r="E42" s="12">
        <v>5</v>
      </c>
      <c r="F42" s="12">
        <v>5</v>
      </c>
      <c r="G42" s="12">
        <v>5</v>
      </c>
      <c r="H42" s="12">
        <v>5</v>
      </c>
      <c r="I42" s="12">
        <v>5</v>
      </c>
      <c r="J42" s="12">
        <v>4</v>
      </c>
      <c r="K42" s="13">
        <f t="shared" si="0"/>
        <v>34</v>
      </c>
      <c r="L42" s="12">
        <v>5</v>
      </c>
      <c r="M42" s="12">
        <v>5</v>
      </c>
      <c r="N42" s="12">
        <v>2</v>
      </c>
      <c r="O42" s="12">
        <v>5</v>
      </c>
      <c r="P42" s="12">
        <v>2</v>
      </c>
      <c r="Q42" s="12">
        <v>5</v>
      </c>
      <c r="R42" s="12">
        <v>4</v>
      </c>
      <c r="S42" s="12">
        <v>5</v>
      </c>
      <c r="T42" s="12">
        <v>5</v>
      </c>
      <c r="U42" s="12">
        <v>5</v>
      </c>
      <c r="V42" s="12">
        <v>5</v>
      </c>
      <c r="W42" s="12">
        <v>4</v>
      </c>
      <c r="X42" s="12">
        <v>2</v>
      </c>
      <c r="Y42" s="12">
        <v>3</v>
      </c>
      <c r="Z42" s="12">
        <v>3</v>
      </c>
      <c r="AA42" s="12">
        <v>5</v>
      </c>
      <c r="AB42" s="13">
        <f t="shared" si="2"/>
        <v>65</v>
      </c>
      <c r="AC42" s="29" t="s">
        <v>39</v>
      </c>
    </row>
    <row r="43" ht="121.5" spans="1:29">
      <c r="A43" s="15"/>
      <c r="B43" s="10" t="s">
        <v>113</v>
      </c>
      <c r="C43" s="11" t="s">
        <v>114</v>
      </c>
      <c r="D43" s="12">
        <v>5</v>
      </c>
      <c r="E43" s="12">
        <v>5</v>
      </c>
      <c r="F43" s="12">
        <v>5</v>
      </c>
      <c r="G43" s="12">
        <v>5</v>
      </c>
      <c r="H43" s="12">
        <v>5</v>
      </c>
      <c r="I43" s="12">
        <v>5</v>
      </c>
      <c r="J43" s="12">
        <v>5</v>
      </c>
      <c r="K43" s="13">
        <f t="shared" si="0"/>
        <v>35</v>
      </c>
      <c r="L43" s="12">
        <v>5</v>
      </c>
      <c r="M43" s="12">
        <v>5</v>
      </c>
      <c r="N43" s="12">
        <v>2</v>
      </c>
      <c r="O43" s="12">
        <v>5</v>
      </c>
      <c r="P43" s="12">
        <v>2</v>
      </c>
      <c r="Q43" s="12">
        <v>5</v>
      </c>
      <c r="R43" s="12">
        <v>4</v>
      </c>
      <c r="S43" s="12">
        <v>5</v>
      </c>
      <c r="T43" s="12">
        <v>5</v>
      </c>
      <c r="U43" s="12">
        <v>5</v>
      </c>
      <c r="V43" s="12">
        <v>5</v>
      </c>
      <c r="W43" s="12">
        <v>4</v>
      </c>
      <c r="X43" s="12">
        <v>2</v>
      </c>
      <c r="Y43" s="12">
        <v>3</v>
      </c>
      <c r="Z43" s="12">
        <v>3</v>
      </c>
      <c r="AA43" s="12">
        <v>5</v>
      </c>
      <c r="AB43" s="13">
        <f t="shared" si="2"/>
        <v>65</v>
      </c>
      <c r="AC43" s="28" t="s">
        <v>30</v>
      </c>
    </row>
    <row r="44" ht="175.5" spans="1:29">
      <c r="A44" s="21"/>
      <c r="B44" s="10" t="s">
        <v>115</v>
      </c>
      <c r="C44" s="11" t="s">
        <v>116</v>
      </c>
      <c r="D44" s="12">
        <v>5</v>
      </c>
      <c r="E44" s="12">
        <v>5</v>
      </c>
      <c r="F44" s="12">
        <v>5</v>
      </c>
      <c r="G44" s="12">
        <v>5</v>
      </c>
      <c r="H44" s="12">
        <v>5</v>
      </c>
      <c r="I44" s="12">
        <v>5</v>
      </c>
      <c r="J44" s="12">
        <v>5</v>
      </c>
      <c r="K44" s="13">
        <f t="shared" si="0"/>
        <v>35</v>
      </c>
      <c r="L44" s="12">
        <v>5</v>
      </c>
      <c r="M44" s="12">
        <v>5</v>
      </c>
      <c r="N44" s="12">
        <v>2</v>
      </c>
      <c r="O44" s="12">
        <v>5</v>
      </c>
      <c r="P44" s="12">
        <v>2</v>
      </c>
      <c r="Q44" s="12">
        <v>5</v>
      </c>
      <c r="R44" s="12">
        <v>4</v>
      </c>
      <c r="S44" s="12">
        <v>5</v>
      </c>
      <c r="T44" s="12">
        <v>5</v>
      </c>
      <c r="U44" s="12">
        <v>5</v>
      </c>
      <c r="V44" s="12">
        <v>5</v>
      </c>
      <c r="W44" s="12">
        <v>4</v>
      </c>
      <c r="X44" s="12">
        <v>3</v>
      </c>
      <c r="Y44" s="12">
        <v>3</v>
      </c>
      <c r="Z44" s="12">
        <v>3</v>
      </c>
      <c r="AA44" s="12">
        <v>5</v>
      </c>
      <c r="AB44" s="13">
        <f t="shared" si="2"/>
        <v>66</v>
      </c>
      <c r="AC44" s="29" t="s">
        <v>39</v>
      </c>
    </row>
    <row r="45" ht="108" spans="1:29">
      <c r="A45" s="22" t="s">
        <v>117</v>
      </c>
      <c r="B45" s="10" t="s">
        <v>118</v>
      </c>
      <c r="C45" s="11" t="s">
        <v>119</v>
      </c>
      <c r="D45" s="12">
        <v>5</v>
      </c>
      <c r="E45" s="12">
        <v>5</v>
      </c>
      <c r="F45" s="12">
        <v>5</v>
      </c>
      <c r="G45" s="12">
        <v>5</v>
      </c>
      <c r="H45" s="12">
        <v>5</v>
      </c>
      <c r="I45" s="12">
        <v>5</v>
      </c>
      <c r="J45" s="12">
        <v>5</v>
      </c>
      <c r="K45" s="13">
        <f t="shared" si="0"/>
        <v>35</v>
      </c>
      <c r="L45" s="12">
        <v>5</v>
      </c>
      <c r="M45" s="12">
        <v>5</v>
      </c>
      <c r="N45" s="12">
        <v>3</v>
      </c>
      <c r="O45" s="12">
        <v>5</v>
      </c>
      <c r="P45" s="12">
        <v>2</v>
      </c>
      <c r="Q45" s="12">
        <v>4</v>
      </c>
      <c r="R45" s="12">
        <v>4</v>
      </c>
      <c r="S45" s="12">
        <v>5</v>
      </c>
      <c r="T45" s="12">
        <v>5</v>
      </c>
      <c r="U45" s="12">
        <v>5</v>
      </c>
      <c r="V45" s="12">
        <v>5</v>
      </c>
      <c r="W45" s="12">
        <v>4</v>
      </c>
      <c r="X45" s="12">
        <v>2</v>
      </c>
      <c r="Y45" s="12">
        <v>5</v>
      </c>
      <c r="Z45" s="12">
        <v>3</v>
      </c>
      <c r="AA45" s="12">
        <v>4</v>
      </c>
      <c r="AB45" s="13">
        <f t="shared" si="2"/>
        <v>66</v>
      </c>
      <c r="AC45" s="28" t="s">
        <v>30</v>
      </c>
    </row>
    <row r="46" ht="216" spans="1:29">
      <c r="A46" s="22"/>
      <c r="B46" s="10" t="s">
        <v>120</v>
      </c>
      <c r="C46" s="11" t="s">
        <v>121</v>
      </c>
      <c r="D46" s="12">
        <v>5</v>
      </c>
      <c r="E46" s="12">
        <v>5</v>
      </c>
      <c r="F46" s="12">
        <v>5</v>
      </c>
      <c r="G46" s="12">
        <v>5</v>
      </c>
      <c r="H46" s="12">
        <v>5</v>
      </c>
      <c r="I46" s="12">
        <v>5</v>
      </c>
      <c r="J46" s="12">
        <v>5</v>
      </c>
      <c r="K46" s="13">
        <f t="shared" si="0"/>
        <v>35</v>
      </c>
      <c r="L46" s="12">
        <v>5</v>
      </c>
      <c r="M46" s="12">
        <v>5</v>
      </c>
      <c r="N46" s="12">
        <v>3</v>
      </c>
      <c r="O46" s="12">
        <v>5</v>
      </c>
      <c r="P46" s="12">
        <v>2</v>
      </c>
      <c r="Q46" s="12">
        <v>4</v>
      </c>
      <c r="R46" s="12">
        <v>4</v>
      </c>
      <c r="S46" s="12">
        <v>5</v>
      </c>
      <c r="T46" s="12">
        <v>5</v>
      </c>
      <c r="U46" s="12">
        <v>5</v>
      </c>
      <c r="V46" s="12">
        <v>5</v>
      </c>
      <c r="W46" s="12">
        <v>4</v>
      </c>
      <c r="X46" s="12">
        <v>2</v>
      </c>
      <c r="Y46" s="12">
        <v>4</v>
      </c>
      <c r="Z46" s="12">
        <v>3</v>
      </c>
      <c r="AA46" s="12">
        <v>4</v>
      </c>
      <c r="AB46" s="13">
        <f t="shared" si="2"/>
        <v>65</v>
      </c>
      <c r="AC46" s="28" t="s">
        <v>30</v>
      </c>
    </row>
    <row r="47" ht="229.5" spans="1:29">
      <c r="A47" s="22"/>
      <c r="B47" s="10" t="s">
        <v>122</v>
      </c>
      <c r="C47" s="11" t="s">
        <v>123</v>
      </c>
      <c r="D47" s="12">
        <v>5</v>
      </c>
      <c r="E47" s="12">
        <v>5</v>
      </c>
      <c r="F47" s="12">
        <v>5</v>
      </c>
      <c r="G47" s="12">
        <v>5</v>
      </c>
      <c r="H47" s="12">
        <v>5</v>
      </c>
      <c r="I47" s="12">
        <v>5</v>
      </c>
      <c r="J47" s="12">
        <v>5</v>
      </c>
      <c r="K47" s="13">
        <f t="shared" si="0"/>
        <v>35</v>
      </c>
      <c r="L47" s="12">
        <v>5</v>
      </c>
      <c r="M47" s="12">
        <v>5</v>
      </c>
      <c r="N47" s="12">
        <v>3</v>
      </c>
      <c r="O47" s="12">
        <v>5</v>
      </c>
      <c r="P47" s="12">
        <v>2</v>
      </c>
      <c r="Q47" s="12">
        <v>4</v>
      </c>
      <c r="R47" s="12">
        <v>4</v>
      </c>
      <c r="S47" s="12">
        <v>5</v>
      </c>
      <c r="T47" s="12">
        <v>5</v>
      </c>
      <c r="U47" s="12">
        <v>5</v>
      </c>
      <c r="V47" s="12">
        <v>5</v>
      </c>
      <c r="W47" s="12">
        <v>4</v>
      </c>
      <c r="X47" s="12">
        <v>2</v>
      </c>
      <c r="Y47" s="12">
        <v>4</v>
      </c>
      <c r="Z47" s="12">
        <v>3</v>
      </c>
      <c r="AA47" s="12">
        <v>4</v>
      </c>
      <c r="AB47" s="13">
        <f t="shared" si="2"/>
        <v>65</v>
      </c>
      <c r="AC47" s="28" t="s">
        <v>30</v>
      </c>
    </row>
    <row r="48" ht="121" customHeight="1" spans="1:29">
      <c r="A48" s="22"/>
      <c r="B48" s="10" t="s">
        <v>124</v>
      </c>
      <c r="C48" s="11" t="s">
        <v>125</v>
      </c>
      <c r="D48" s="12">
        <v>5</v>
      </c>
      <c r="E48" s="12">
        <v>5</v>
      </c>
      <c r="F48" s="12">
        <v>5</v>
      </c>
      <c r="G48" s="12">
        <v>5</v>
      </c>
      <c r="H48" s="12">
        <v>5</v>
      </c>
      <c r="I48" s="12">
        <v>5</v>
      </c>
      <c r="J48" s="12">
        <v>5</v>
      </c>
      <c r="K48" s="13">
        <f t="shared" si="0"/>
        <v>35</v>
      </c>
      <c r="L48" s="12">
        <v>5</v>
      </c>
      <c r="M48" s="12">
        <v>5</v>
      </c>
      <c r="N48" s="12">
        <v>3</v>
      </c>
      <c r="O48" s="12">
        <v>5</v>
      </c>
      <c r="P48" s="12">
        <v>3</v>
      </c>
      <c r="Q48" s="12">
        <v>4</v>
      </c>
      <c r="R48" s="12">
        <v>4</v>
      </c>
      <c r="S48" s="12">
        <v>5</v>
      </c>
      <c r="T48" s="12">
        <v>5</v>
      </c>
      <c r="U48" s="12">
        <v>5</v>
      </c>
      <c r="V48" s="12">
        <v>5</v>
      </c>
      <c r="W48" s="12">
        <v>4</v>
      </c>
      <c r="X48" s="12">
        <v>3</v>
      </c>
      <c r="Y48" s="12">
        <v>4</v>
      </c>
      <c r="Z48" s="12">
        <v>3</v>
      </c>
      <c r="AA48" s="12">
        <v>4</v>
      </c>
      <c r="AB48" s="13">
        <f t="shared" si="2"/>
        <v>67</v>
      </c>
      <c r="AC48" s="29" t="s">
        <v>39</v>
      </c>
    </row>
    <row r="49" ht="168" customHeight="1" spans="1:29">
      <c r="A49" s="22"/>
      <c r="B49" s="10" t="s">
        <v>126</v>
      </c>
      <c r="C49" s="11" t="s">
        <v>127</v>
      </c>
      <c r="D49" s="12">
        <v>5</v>
      </c>
      <c r="E49" s="12">
        <v>5</v>
      </c>
      <c r="F49" s="12">
        <v>5</v>
      </c>
      <c r="G49" s="12">
        <v>5</v>
      </c>
      <c r="H49" s="12">
        <v>5</v>
      </c>
      <c r="I49" s="12">
        <v>5</v>
      </c>
      <c r="J49" s="12">
        <v>5</v>
      </c>
      <c r="K49" s="13">
        <f t="shared" si="0"/>
        <v>35</v>
      </c>
      <c r="L49" s="12">
        <v>5</v>
      </c>
      <c r="M49" s="12">
        <v>5</v>
      </c>
      <c r="N49" s="12">
        <v>2</v>
      </c>
      <c r="O49" s="12">
        <v>5</v>
      </c>
      <c r="P49" s="12">
        <v>2</v>
      </c>
      <c r="Q49" s="12">
        <v>4</v>
      </c>
      <c r="R49" s="12">
        <v>4</v>
      </c>
      <c r="S49" s="12">
        <v>5</v>
      </c>
      <c r="T49" s="12">
        <v>5</v>
      </c>
      <c r="U49" s="12">
        <v>5</v>
      </c>
      <c r="V49" s="12">
        <v>5</v>
      </c>
      <c r="W49" s="12">
        <v>4</v>
      </c>
      <c r="X49" s="12">
        <v>3</v>
      </c>
      <c r="Y49" s="12">
        <v>3</v>
      </c>
      <c r="Z49" s="12">
        <v>3</v>
      </c>
      <c r="AA49" s="12">
        <v>3</v>
      </c>
      <c r="AB49" s="13">
        <f t="shared" si="2"/>
        <v>63</v>
      </c>
      <c r="AC49" s="29" t="s">
        <v>39</v>
      </c>
    </row>
    <row r="50" ht="108" spans="1:29">
      <c r="A50" s="22"/>
      <c r="B50" s="10" t="s">
        <v>128</v>
      </c>
      <c r="C50" s="11" t="s">
        <v>129</v>
      </c>
      <c r="D50" s="12">
        <v>5</v>
      </c>
      <c r="E50" s="12">
        <v>5</v>
      </c>
      <c r="F50" s="12">
        <v>5</v>
      </c>
      <c r="G50" s="12">
        <v>5</v>
      </c>
      <c r="H50" s="12">
        <v>5</v>
      </c>
      <c r="I50" s="12">
        <v>5</v>
      </c>
      <c r="J50" s="12">
        <v>5</v>
      </c>
      <c r="K50" s="13">
        <f t="shared" si="0"/>
        <v>35</v>
      </c>
      <c r="L50" s="12">
        <v>5</v>
      </c>
      <c r="M50" s="12">
        <v>3</v>
      </c>
      <c r="N50" s="12">
        <v>3</v>
      </c>
      <c r="O50" s="12">
        <v>5</v>
      </c>
      <c r="P50" s="12">
        <v>1</v>
      </c>
      <c r="Q50" s="12">
        <v>4</v>
      </c>
      <c r="R50" s="12">
        <v>4</v>
      </c>
      <c r="S50" s="12">
        <v>5</v>
      </c>
      <c r="T50" s="12">
        <v>5</v>
      </c>
      <c r="U50" s="12">
        <v>5</v>
      </c>
      <c r="V50" s="12">
        <v>5</v>
      </c>
      <c r="W50" s="12">
        <v>4</v>
      </c>
      <c r="X50" s="12">
        <v>3</v>
      </c>
      <c r="Y50" s="12">
        <v>3</v>
      </c>
      <c r="Z50" s="12">
        <v>3</v>
      </c>
      <c r="AA50" s="12">
        <v>3</v>
      </c>
      <c r="AB50" s="13">
        <f t="shared" si="2"/>
        <v>61</v>
      </c>
      <c r="AC50" s="28" t="s">
        <v>30</v>
      </c>
    </row>
    <row r="51" ht="94.5" spans="1:29">
      <c r="A51" s="22"/>
      <c r="B51" s="10" t="s">
        <v>130</v>
      </c>
      <c r="C51" s="11" t="s">
        <v>131</v>
      </c>
      <c r="D51" s="12">
        <v>5</v>
      </c>
      <c r="E51" s="12">
        <v>5</v>
      </c>
      <c r="F51" s="12">
        <v>5</v>
      </c>
      <c r="G51" s="12">
        <v>5</v>
      </c>
      <c r="H51" s="12">
        <v>5</v>
      </c>
      <c r="I51" s="12">
        <v>5</v>
      </c>
      <c r="J51" s="12">
        <v>5</v>
      </c>
      <c r="K51" s="13">
        <f t="shared" si="0"/>
        <v>35</v>
      </c>
      <c r="L51" s="12">
        <v>5</v>
      </c>
      <c r="M51" s="12">
        <v>5</v>
      </c>
      <c r="N51" s="12">
        <v>2</v>
      </c>
      <c r="O51" s="12">
        <v>5</v>
      </c>
      <c r="P51" s="12">
        <v>2</v>
      </c>
      <c r="Q51" s="12">
        <v>4</v>
      </c>
      <c r="R51" s="12">
        <v>4</v>
      </c>
      <c r="S51" s="12">
        <v>5</v>
      </c>
      <c r="T51" s="12">
        <v>5</v>
      </c>
      <c r="U51" s="12">
        <v>5</v>
      </c>
      <c r="V51" s="12">
        <v>5</v>
      </c>
      <c r="W51" s="12">
        <v>4</v>
      </c>
      <c r="X51" s="12">
        <v>2</v>
      </c>
      <c r="Y51" s="12">
        <v>3</v>
      </c>
      <c r="Z51" s="12">
        <v>3</v>
      </c>
      <c r="AA51" s="12">
        <v>3</v>
      </c>
      <c r="AB51" s="13">
        <f t="shared" si="2"/>
        <v>62</v>
      </c>
      <c r="AC51" s="28" t="s">
        <v>30</v>
      </c>
    </row>
    <row r="52" ht="108" spans="1:29">
      <c r="B52" s="10" t="s">
        <v>132</v>
      </c>
      <c r="C52" s="11" t="s">
        <v>133</v>
      </c>
      <c r="D52" s="12">
        <v>5</v>
      </c>
      <c r="E52" s="12">
        <v>5</v>
      </c>
      <c r="F52" s="12">
        <v>5</v>
      </c>
      <c r="G52" s="12">
        <v>5</v>
      </c>
      <c r="H52" s="12">
        <v>5</v>
      </c>
      <c r="I52" s="12">
        <v>5</v>
      </c>
      <c r="J52" s="12">
        <v>5</v>
      </c>
      <c r="K52" s="13">
        <f t="shared" si="0"/>
        <v>35</v>
      </c>
      <c r="L52" s="12">
        <v>5</v>
      </c>
      <c r="M52" s="12">
        <v>5</v>
      </c>
      <c r="N52" s="12">
        <v>2</v>
      </c>
      <c r="O52" s="12">
        <v>5</v>
      </c>
      <c r="P52" s="12">
        <v>2</v>
      </c>
      <c r="Q52" s="12">
        <v>4</v>
      </c>
      <c r="R52" s="12">
        <v>4</v>
      </c>
      <c r="S52" s="12">
        <v>5</v>
      </c>
      <c r="T52" s="12">
        <v>5</v>
      </c>
      <c r="U52" s="12">
        <v>5</v>
      </c>
      <c r="V52" s="12">
        <v>5</v>
      </c>
      <c r="W52" s="12">
        <v>4</v>
      </c>
      <c r="X52" s="12">
        <v>1</v>
      </c>
      <c r="Y52" s="12">
        <v>3</v>
      </c>
      <c r="Z52" s="12">
        <v>3</v>
      </c>
      <c r="AA52" s="12">
        <v>3</v>
      </c>
      <c r="AB52" s="13">
        <f t="shared" si="2"/>
        <v>61</v>
      </c>
      <c r="AC52" s="28" t="s">
        <v>30</v>
      </c>
    </row>
    <row r="53" spans="1:29">
      <c r="B53" s="10"/>
      <c r="C53" s="11"/>
      <c r="D53" s="14">
        <f>AVERAGE(D3:D52)</f>
        <v>4.92</v>
      </c>
      <c r="E53" s="14">
        <f t="shared" ref="E53:AB53" si="3">AVERAGE(E3:E52)</f>
        <v>4.98</v>
      </c>
      <c r="F53" s="14">
        <f t="shared" si="3"/>
        <v>4.98</v>
      </c>
      <c r="G53" s="14">
        <f t="shared" si="3"/>
        <v>4.86</v>
      </c>
      <c r="H53" s="14">
        <f t="shared" si="3"/>
        <v>4.94</v>
      </c>
      <c r="I53" s="14">
        <f t="shared" si="3"/>
        <v>4.98</v>
      </c>
      <c r="J53" s="14">
        <f t="shared" si="3"/>
        <v>4.86</v>
      </c>
      <c r="K53" s="14">
        <f t="shared" si="3"/>
        <v>34.52</v>
      </c>
      <c r="L53" s="14">
        <f t="shared" si="3"/>
        <v>4.98</v>
      </c>
      <c r="M53" s="14">
        <f t="shared" si="3"/>
        <v>4.94</v>
      </c>
      <c r="N53" s="14">
        <f t="shared" si="3"/>
        <v>2.72</v>
      </c>
      <c r="O53" s="14">
        <f t="shared" si="3"/>
        <v>5</v>
      </c>
      <c r="P53" s="14">
        <f t="shared" si="3"/>
        <v>2.08</v>
      </c>
      <c r="Q53" s="14">
        <f t="shared" si="3"/>
        <v>4.38</v>
      </c>
      <c r="R53" s="14">
        <f t="shared" si="3"/>
        <v>3.9</v>
      </c>
      <c r="S53" s="14">
        <f t="shared" si="3"/>
        <v>4.96</v>
      </c>
      <c r="T53" s="14">
        <f t="shared" si="3"/>
        <v>4.96</v>
      </c>
      <c r="U53" s="14">
        <f t="shared" si="3"/>
        <v>5</v>
      </c>
      <c r="V53" s="14">
        <f t="shared" si="3"/>
        <v>5</v>
      </c>
      <c r="W53" s="14">
        <f t="shared" si="3"/>
        <v>3.1</v>
      </c>
      <c r="X53" s="14">
        <f t="shared" si="3"/>
        <v>2.24</v>
      </c>
      <c r="Y53" s="14">
        <f t="shared" si="3"/>
        <v>3.48</v>
      </c>
      <c r="Z53" s="14">
        <f t="shared" si="3"/>
        <v>3</v>
      </c>
      <c r="AA53" s="14">
        <f t="shared" si="3"/>
        <v>3.6</v>
      </c>
      <c r="AB53" s="14">
        <f t="shared" si="3"/>
        <v>63.34</v>
      </c>
      <c r="AC53" s="14" t="s">
        <v>134</v>
      </c>
    </row>
    <row r="54" spans="1:29">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t="s">
        <v>135</v>
      </c>
    </row>
    <row r="55" spans="1:29">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t="s">
        <v>136</v>
      </c>
    </row>
    <row r="56" spans="1:29">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t="s">
        <v>137</v>
      </c>
    </row>
    <row r="57" spans="1:29">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t="s">
        <v>138</v>
      </c>
    </row>
    <row r="58" spans="1:29">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t="s">
        <v>139</v>
      </c>
    </row>
    <row r="59" spans="1:29">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spans="1:29">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spans="1:29">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spans="1:29">
      <c r="B62" s="10"/>
      <c r="C62" s="11"/>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row r="63" spans="1:29">
      <c r="B63" s="10"/>
      <c r="C63" s="11"/>
      <c r="D63" s="14"/>
      <c r="E63" s="14"/>
      <c r="F63" s="14"/>
      <c r="G63" s="14"/>
      <c r="H63" s="14"/>
      <c r="I63" s="14"/>
      <c r="J63" s="14"/>
      <c r="K63" s="13"/>
      <c r="L63" s="14"/>
      <c r="M63" s="14"/>
      <c r="N63" s="14"/>
      <c r="O63" s="14"/>
      <c r="P63" s="14"/>
      <c r="Q63" s="14"/>
      <c r="R63" s="14"/>
      <c r="S63" s="14"/>
      <c r="T63" s="14"/>
      <c r="U63" s="14"/>
      <c r="V63" s="14"/>
      <c r="W63" s="14"/>
      <c r="X63" s="14"/>
      <c r="Y63" s="14"/>
      <c r="Z63" s="14"/>
      <c r="AA63" s="14"/>
      <c r="AB63" s="13"/>
      <c r="AC63" s="14"/>
    </row>
    <row r="64" spans="1:29">
      <c r="B64" s="10"/>
      <c r="C64" s="11"/>
      <c r="D64" s="14"/>
      <c r="E64" s="14"/>
      <c r="F64" s="14"/>
      <c r="G64" s="14"/>
      <c r="H64" s="14"/>
      <c r="I64" s="14"/>
      <c r="J64" s="14"/>
      <c r="K64" s="13"/>
      <c r="L64" s="14"/>
      <c r="M64" s="14"/>
      <c r="N64" s="14"/>
      <c r="O64" s="14"/>
      <c r="P64" s="14"/>
      <c r="Q64" s="14"/>
      <c r="R64" s="14"/>
      <c r="S64" s="14"/>
      <c r="T64" s="14"/>
      <c r="U64" s="14"/>
      <c r="V64" s="14"/>
      <c r="W64" s="14"/>
      <c r="X64" s="14"/>
      <c r="Y64" s="14"/>
      <c r="Z64" s="14"/>
      <c r="AA64" s="14"/>
      <c r="AB64" s="13"/>
      <c r="AC64" s="14"/>
    </row>
    <row r="65" spans="2:29">
      <c r="B65" s="10"/>
      <c r="C65" s="11"/>
      <c r="D65" s="14"/>
      <c r="E65" s="14"/>
      <c r="F65" s="14"/>
      <c r="G65" s="14"/>
      <c r="H65" s="14"/>
      <c r="I65" s="14"/>
      <c r="J65" s="14"/>
      <c r="K65" s="13"/>
      <c r="L65" s="14"/>
      <c r="M65" s="14"/>
      <c r="N65" s="14"/>
      <c r="O65" s="14"/>
      <c r="P65" s="14"/>
      <c r="Q65" s="14"/>
      <c r="R65" s="14"/>
      <c r="S65" s="14"/>
      <c r="T65" s="14"/>
      <c r="U65" s="14"/>
      <c r="V65" s="14"/>
      <c r="W65" s="14"/>
      <c r="X65" s="14"/>
      <c r="Y65" s="14"/>
      <c r="Z65" s="14"/>
      <c r="AA65" s="14"/>
      <c r="AB65" s="13"/>
      <c r="AC65" s="14"/>
    </row>
    <row r="66" spans="2:29">
      <c r="B66" s="10"/>
      <c r="C66" s="11"/>
      <c r="D66" s="14"/>
      <c r="E66" s="14"/>
      <c r="F66" s="14"/>
      <c r="G66" s="14"/>
      <c r="H66" s="14"/>
      <c r="I66" s="14"/>
      <c r="J66" s="14"/>
      <c r="K66" s="13"/>
      <c r="L66" s="14"/>
      <c r="M66" s="14"/>
      <c r="N66" s="14"/>
      <c r="O66" s="14"/>
      <c r="P66" s="14"/>
      <c r="Q66" s="14"/>
      <c r="R66" s="14"/>
      <c r="S66" s="14"/>
      <c r="T66" s="14"/>
      <c r="U66" s="14"/>
      <c r="V66" s="14"/>
      <c r="W66" s="14"/>
      <c r="X66" s="14"/>
      <c r="Y66" s="14"/>
      <c r="Z66" s="14"/>
      <c r="AA66" s="14"/>
      <c r="AB66" s="13"/>
      <c r="AC66" s="14"/>
    </row>
    <row r="67" spans="2:29">
      <c r="B67" s="10"/>
      <c r="C67" s="11"/>
      <c r="D67" s="14"/>
      <c r="E67" s="14"/>
      <c r="F67" s="14"/>
      <c r="G67" s="14"/>
      <c r="H67" s="14"/>
      <c r="I67" s="14"/>
      <c r="J67" s="14"/>
      <c r="K67" s="13"/>
      <c r="L67" s="14"/>
      <c r="M67" s="14"/>
      <c r="N67" s="14"/>
      <c r="O67" s="14"/>
      <c r="P67" s="14"/>
      <c r="Q67" s="14"/>
      <c r="R67" s="14"/>
      <c r="S67" s="14"/>
      <c r="T67" s="14"/>
      <c r="U67" s="14"/>
      <c r="V67" s="14"/>
      <c r="W67" s="14"/>
      <c r="X67" s="14"/>
      <c r="Y67" s="14"/>
      <c r="Z67" s="14"/>
      <c r="AA67" s="14"/>
      <c r="AB67" s="13"/>
      <c r="AC67" s="14"/>
    </row>
    <row r="68" spans="2:29">
      <c r="B68" s="10"/>
      <c r="C68" s="11"/>
      <c r="D68" s="14"/>
      <c r="E68" s="14"/>
      <c r="F68" s="14"/>
      <c r="G68" s="14"/>
      <c r="H68" s="14"/>
      <c r="I68" s="14"/>
      <c r="J68" s="14"/>
      <c r="K68" s="13"/>
      <c r="L68" s="14"/>
      <c r="M68" s="14"/>
      <c r="N68" s="14"/>
      <c r="O68" s="14"/>
      <c r="P68" s="14"/>
      <c r="Q68" s="14"/>
      <c r="R68" s="14"/>
      <c r="S68" s="14"/>
      <c r="T68" s="14"/>
      <c r="U68" s="14"/>
      <c r="V68" s="14"/>
      <c r="W68" s="14"/>
      <c r="X68" s="14"/>
      <c r="Y68" s="14"/>
      <c r="Z68" s="14"/>
      <c r="AA68" s="14"/>
      <c r="AB68" s="13"/>
      <c r="AC68" s="14"/>
    </row>
    <row r="69" spans="2:29">
      <c r="B69" s="10"/>
      <c r="C69" s="11"/>
      <c r="D69" s="14"/>
      <c r="E69" s="14"/>
      <c r="F69" s="14"/>
      <c r="G69" s="14"/>
      <c r="H69" s="14"/>
      <c r="I69" s="14"/>
      <c r="J69" s="14"/>
      <c r="K69" s="13"/>
      <c r="L69" s="14"/>
      <c r="M69" s="14"/>
      <c r="N69" s="14"/>
      <c r="O69" s="14"/>
      <c r="P69" s="14"/>
      <c r="Q69" s="14"/>
      <c r="R69" s="14"/>
      <c r="S69" s="14"/>
      <c r="T69" s="14"/>
      <c r="U69" s="14"/>
      <c r="V69" s="14"/>
      <c r="W69" s="14"/>
      <c r="X69" s="14"/>
      <c r="Y69" s="14"/>
      <c r="Z69" s="14"/>
      <c r="AA69" s="14"/>
      <c r="AB69" s="13"/>
      <c r="AC69" s="14"/>
    </row>
    <row r="70" spans="2:29">
      <c r="B70" s="10"/>
      <c r="C70" s="11"/>
      <c r="D70" s="14"/>
      <c r="E70" s="14"/>
      <c r="F70" s="14"/>
      <c r="G70" s="14"/>
      <c r="H70" s="14"/>
      <c r="I70" s="14"/>
      <c r="J70" s="14"/>
      <c r="K70" s="13"/>
      <c r="L70" s="14"/>
      <c r="M70" s="14"/>
      <c r="N70" s="14"/>
      <c r="O70" s="14"/>
      <c r="P70" s="14"/>
      <c r="Q70" s="14"/>
      <c r="R70" s="14"/>
      <c r="S70" s="14"/>
      <c r="T70" s="14"/>
      <c r="U70" s="14"/>
      <c r="V70" s="14"/>
      <c r="W70" s="14"/>
      <c r="X70" s="14"/>
      <c r="Y70" s="14"/>
      <c r="Z70" s="14"/>
      <c r="AA70" s="14"/>
      <c r="AB70" s="13"/>
      <c r="AC70" s="14"/>
    </row>
    <row r="71" spans="2:29">
      <c r="B71" s="10"/>
      <c r="C71" s="11"/>
      <c r="D71" s="14"/>
      <c r="E71" s="14"/>
      <c r="F71" s="14"/>
      <c r="G71" s="14"/>
      <c r="H71" s="14"/>
      <c r="I71" s="14"/>
      <c r="J71" s="14"/>
      <c r="K71" s="13"/>
      <c r="L71" s="14"/>
      <c r="M71" s="14"/>
      <c r="N71" s="14"/>
      <c r="O71" s="14"/>
      <c r="P71" s="14"/>
      <c r="Q71" s="14"/>
      <c r="R71" s="14"/>
      <c r="S71" s="14"/>
      <c r="T71" s="14"/>
      <c r="U71" s="14"/>
      <c r="V71" s="14"/>
      <c r="W71" s="14"/>
      <c r="X71" s="14"/>
      <c r="Y71" s="14"/>
      <c r="Z71" s="14"/>
      <c r="AA71" s="14"/>
      <c r="AB71" s="13"/>
      <c r="AC71" s="14"/>
    </row>
    <row r="72" spans="2:29">
      <c r="B72" s="10"/>
      <c r="C72" s="11"/>
      <c r="D72" s="14"/>
      <c r="E72" s="14"/>
      <c r="F72" s="14"/>
      <c r="G72" s="14"/>
      <c r="H72" s="14"/>
      <c r="I72" s="14"/>
      <c r="J72" s="14"/>
      <c r="K72" s="13"/>
      <c r="L72" s="14"/>
      <c r="M72" s="14"/>
      <c r="N72" s="14"/>
      <c r="O72" s="14"/>
      <c r="P72" s="14"/>
      <c r="Q72" s="14"/>
      <c r="R72" s="14"/>
      <c r="S72" s="14"/>
      <c r="T72" s="14"/>
      <c r="U72" s="14"/>
      <c r="V72" s="14"/>
      <c r="W72" s="14"/>
      <c r="X72" s="14"/>
      <c r="Y72" s="14"/>
      <c r="Z72" s="14"/>
      <c r="AA72" s="14"/>
      <c r="AB72" s="13"/>
      <c r="AC72" s="14"/>
    </row>
    <row r="73" spans="2:29">
      <c r="B73" s="10"/>
      <c r="C73" s="11"/>
      <c r="D73" s="14"/>
      <c r="E73" s="14"/>
      <c r="F73" s="14"/>
      <c r="G73" s="14"/>
      <c r="H73" s="14"/>
      <c r="I73" s="14"/>
      <c r="J73" s="14"/>
      <c r="K73" s="13"/>
      <c r="L73" s="14"/>
      <c r="M73" s="14"/>
      <c r="N73" s="14"/>
      <c r="O73" s="14"/>
      <c r="P73" s="14"/>
      <c r="Q73" s="14"/>
      <c r="R73" s="14"/>
      <c r="S73" s="14"/>
      <c r="T73" s="14"/>
      <c r="U73" s="14"/>
      <c r="V73" s="14"/>
      <c r="W73" s="14"/>
      <c r="X73" s="14"/>
      <c r="Y73" s="14"/>
      <c r="Z73" s="14"/>
      <c r="AA73" s="14"/>
      <c r="AB73" s="13"/>
      <c r="AC73" s="14"/>
    </row>
    <row r="74" spans="2:29">
      <c r="B74" s="10"/>
      <c r="C74" s="11"/>
      <c r="D74" s="14"/>
      <c r="E74" s="14"/>
      <c r="F74" s="14"/>
      <c r="G74" s="14"/>
      <c r="H74" s="14"/>
      <c r="I74" s="14"/>
      <c r="J74" s="14"/>
      <c r="K74" s="13"/>
      <c r="L74" s="14"/>
      <c r="M74" s="14"/>
      <c r="N74" s="14"/>
      <c r="O74" s="14"/>
      <c r="P74" s="14"/>
      <c r="Q74" s="14"/>
      <c r="R74" s="14"/>
      <c r="S74" s="14"/>
      <c r="T74" s="14"/>
      <c r="U74" s="14"/>
      <c r="V74" s="14"/>
      <c r="W74" s="14"/>
      <c r="X74" s="14"/>
      <c r="Y74" s="14"/>
      <c r="Z74" s="14"/>
      <c r="AA74" s="14"/>
      <c r="AB74" s="13"/>
      <c r="AC74" s="14"/>
    </row>
    <row r="75" spans="2:29">
      <c r="B75" s="10"/>
      <c r="C75" s="11"/>
      <c r="D75" s="14"/>
      <c r="E75" s="14"/>
      <c r="F75" s="14"/>
      <c r="G75" s="14"/>
      <c r="H75" s="14"/>
      <c r="I75" s="14"/>
      <c r="J75" s="14"/>
      <c r="K75" s="13"/>
      <c r="L75" s="14"/>
      <c r="M75" s="14"/>
      <c r="N75" s="14"/>
      <c r="O75" s="14"/>
      <c r="P75" s="14"/>
      <c r="Q75" s="14"/>
      <c r="R75" s="14"/>
      <c r="S75" s="14"/>
      <c r="T75" s="14"/>
      <c r="U75" s="14"/>
      <c r="V75" s="14"/>
      <c r="W75" s="14"/>
      <c r="X75" s="14"/>
      <c r="Y75" s="14"/>
      <c r="Z75" s="14"/>
      <c r="AA75" s="14"/>
      <c r="AB75" s="13"/>
      <c r="AC75" s="14"/>
    </row>
    <row r="76" spans="2:29">
      <c r="B76" s="10"/>
      <c r="C76" s="11"/>
      <c r="D76" s="14"/>
      <c r="E76" s="14"/>
      <c r="F76" s="14"/>
      <c r="G76" s="14"/>
      <c r="H76" s="14"/>
      <c r="I76" s="14"/>
      <c r="J76" s="14"/>
      <c r="K76" s="13"/>
      <c r="L76" s="14"/>
      <c r="M76" s="14"/>
      <c r="N76" s="14"/>
      <c r="O76" s="14"/>
      <c r="P76" s="14"/>
      <c r="Q76" s="14"/>
      <c r="R76" s="14"/>
      <c r="S76" s="14"/>
      <c r="T76" s="14"/>
      <c r="U76" s="14"/>
      <c r="V76" s="14"/>
      <c r="W76" s="14"/>
      <c r="X76" s="14"/>
      <c r="Y76" s="14"/>
      <c r="Z76" s="14"/>
      <c r="AA76" s="14"/>
      <c r="AB76" s="13"/>
      <c r="AC76" s="14"/>
    </row>
    <row r="77" spans="2:29">
      <c r="B77" s="10"/>
      <c r="C77" s="11"/>
      <c r="D77" s="14"/>
      <c r="E77" s="14"/>
      <c r="F77" s="14"/>
      <c r="G77" s="14"/>
      <c r="H77" s="14"/>
      <c r="I77" s="14"/>
      <c r="J77" s="14"/>
      <c r="K77" s="13"/>
      <c r="L77" s="14"/>
      <c r="M77" s="14"/>
      <c r="N77" s="14"/>
      <c r="O77" s="14"/>
      <c r="P77" s="14"/>
      <c r="Q77" s="14"/>
      <c r="R77" s="14"/>
      <c r="S77" s="14"/>
      <c r="T77" s="14"/>
      <c r="U77" s="14"/>
      <c r="V77" s="14"/>
      <c r="W77" s="14"/>
      <c r="X77" s="14"/>
      <c r="Y77" s="14"/>
      <c r="Z77" s="14"/>
      <c r="AA77" s="14"/>
      <c r="AB77" s="13"/>
      <c r="AC77" s="14"/>
    </row>
    <row r="78" spans="2:29">
      <c r="B78" s="10"/>
      <c r="C78" s="11"/>
      <c r="D78" s="14"/>
      <c r="E78" s="14"/>
      <c r="F78" s="14"/>
      <c r="G78" s="14"/>
      <c r="H78" s="14"/>
      <c r="I78" s="14"/>
      <c r="J78" s="14"/>
      <c r="K78" s="13"/>
      <c r="L78" s="14"/>
      <c r="M78" s="14"/>
      <c r="N78" s="14"/>
      <c r="O78" s="14"/>
      <c r="P78" s="14"/>
      <c r="Q78" s="14"/>
      <c r="R78" s="14"/>
      <c r="S78" s="14"/>
      <c r="T78" s="14"/>
      <c r="U78" s="14"/>
      <c r="V78" s="14"/>
      <c r="W78" s="14"/>
      <c r="X78" s="14"/>
      <c r="Y78" s="14"/>
      <c r="Z78" s="14"/>
      <c r="AA78" s="14"/>
      <c r="AB78" s="13"/>
      <c r="AC78" s="14"/>
    </row>
    <row r="79" spans="2:29">
      <c r="B79" s="10"/>
      <c r="C79" s="11"/>
      <c r="D79" s="14"/>
      <c r="E79" s="14"/>
      <c r="F79" s="14"/>
      <c r="G79" s="14"/>
      <c r="H79" s="14"/>
      <c r="I79" s="14"/>
      <c r="J79" s="14"/>
      <c r="K79" s="13"/>
      <c r="L79" s="14"/>
      <c r="M79" s="14"/>
      <c r="N79" s="14"/>
      <c r="O79" s="14"/>
      <c r="P79" s="14"/>
      <c r="Q79" s="14"/>
      <c r="R79" s="14"/>
      <c r="S79" s="14"/>
      <c r="T79" s="14"/>
      <c r="U79" s="14"/>
      <c r="V79" s="14"/>
      <c r="W79" s="14"/>
      <c r="X79" s="14"/>
      <c r="Y79" s="14"/>
      <c r="Z79" s="14"/>
      <c r="AA79" s="14"/>
      <c r="AB79" s="13"/>
      <c r="AC79" s="14"/>
    </row>
    <row r="80" spans="2:29">
      <c r="B80" s="10"/>
      <c r="C80" s="11"/>
      <c r="D80" s="14"/>
      <c r="E80" s="14"/>
      <c r="F80" s="14"/>
      <c r="G80" s="14"/>
      <c r="H80" s="14"/>
      <c r="I80" s="14"/>
      <c r="J80" s="14"/>
      <c r="K80" s="13"/>
      <c r="L80" s="14"/>
      <c r="M80" s="14"/>
      <c r="N80" s="14"/>
      <c r="O80" s="14"/>
      <c r="P80" s="14"/>
      <c r="Q80" s="14"/>
      <c r="R80" s="14"/>
      <c r="S80" s="14"/>
      <c r="T80" s="14"/>
      <c r="U80" s="14"/>
      <c r="V80" s="14"/>
      <c r="W80" s="14"/>
      <c r="X80" s="14"/>
      <c r="Y80" s="14"/>
      <c r="Z80" s="14"/>
      <c r="AA80" s="14"/>
      <c r="AB80" s="13"/>
      <c r="AC80" s="14"/>
    </row>
    <row r="81" spans="2:29">
      <c r="B81" s="10"/>
      <c r="C81" s="11"/>
      <c r="D81" s="14"/>
      <c r="E81" s="14"/>
      <c r="F81" s="14"/>
      <c r="G81" s="14"/>
      <c r="H81" s="14"/>
      <c r="I81" s="14"/>
      <c r="J81" s="14"/>
      <c r="K81" s="13"/>
      <c r="L81" s="14"/>
      <c r="M81" s="14"/>
      <c r="N81" s="14"/>
      <c r="O81" s="14"/>
      <c r="P81" s="14"/>
      <c r="Q81" s="14"/>
      <c r="R81" s="14"/>
      <c r="S81" s="14"/>
      <c r="T81" s="14"/>
      <c r="U81" s="14"/>
      <c r="V81" s="14"/>
      <c r="W81" s="14"/>
      <c r="X81" s="14"/>
      <c r="Y81" s="14"/>
      <c r="Z81" s="14"/>
      <c r="AA81" s="14"/>
      <c r="AB81" s="13"/>
      <c r="AC81" s="14"/>
    </row>
    <row r="82" spans="2:29">
      <c r="B82" s="10"/>
      <c r="C82" s="11"/>
      <c r="D82" s="14"/>
      <c r="E82" s="14"/>
      <c r="F82" s="14"/>
      <c r="G82" s="14"/>
      <c r="H82" s="14"/>
      <c r="I82" s="14"/>
      <c r="J82" s="14"/>
      <c r="K82" s="13"/>
      <c r="L82" s="14"/>
      <c r="M82" s="14"/>
      <c r="N82" s="14"/>
      <c r="O82" s="14"/>
      <c r="P82" s="14"/>
      <c r="Q82" s="14"/>
      <c r="R82" s="14"/>
      <c r="S82" s="14"/>
      <c r="T82" s="14"/>
      <c r="U82" s="14"/>
      <c r="V82" s="14"/>
      <c r="W82" s="14"/>
      <c r="X82" s="14"/>
      <c r="Y82" s="14"/>
      <c r="Z82" s="14"/>
      <c r="AA82" s="14"/>
      <c r="AB82" s="13"/>
      <c r="AC82" s="14"/>
    </row>
    <row r="83" spans="2:29">
      <c r="B83" s="10"/>
      <c r="C83" s="11"/>
      <c r="D83" s="14"/>
      <c r="E83" s="14"/>
      <c r="F83" s="14"/>
      <c r="G83" s="14"/>
      <c r="H83" s="14"/>
      <c r="I83" s="14"/>
      <c r="J83" s="14"/>
      <c r="K83" s="13"/>
      <c r="L83" s="14"/>
      <c r="M83" s="14"/>
      <c r="N83" s="14"/>
      <c r="O83" s="14"/>
      <c r="P83" s="14"/>
      <c r="Q83" s="14"/>
      <c r="R83" s="14"/>
      <c r="S83" s="14"/>
      <c r="T83" s="14"/>
      <c r="U83" s="14"/>
      <c r="V83" s="14"/>
      <c r="W83" s="14"/>
      <c r="X83" s="14"/>
      <c r="Y83" s="14"/>
      <c r="Z83" s="14"/>
      <c r="AA83" s="14"/>
      <c r="AB83" s="13"/>
      <c r="AC83" s="14"/>
    </row>
    <row r="84" spans="2:29">
      <c r="B84" s="10"/>
      <c r="C84" s="11"/>
      <c r="D84" s="14"/>
      <c r="E84" s="14"/>
      <c r="F84" s="14"/>
      <c r="G84" s="14"/>
      <c r="H84" s="14"/>
      <c r="I84" s="14"/>
      <c r="J84" s="14"/>
      <c r="K84" s="13"/>
      <c r="L84" s="14"/>
      <c r="M84" s="14"/>
      <c r="N84" s="14"/>
      <c r="O84" s="14"/>
      <c r="P84" s="14"/>
      <c r="Q84" s="14"/>
      <c r="R84" s="14"/>
      <c r="S84" s="14"/>
      <c r="T84" s="14"/>
      <c r="U84" s="14"/>
      <c r="V84" s="14"/>
      <c r="W84" s="14"/>
      <c r="X84" s="14"/>
      <c r="Y84" s="14"/>
      <c r="Z84" s="14"/>
      <c r="AA84" s="14"/>
      <c r="AB84" s="13"/>
      <c r="AC84" s="14"/>
    </row>
    <row r="85" spans="2:29">
      <c r="B85" s="10"/>
      <c r="C85" s="11"/>
      <c r="D85" s="14"/>
      <c r="E85" s="14"/>
      <c r="F85" s="14"/>
      <c r="G85" s="14"/>
      <c r="H85" s="14"/>
      <c r="I85" s="14"/>
      <c r="J85" s="14"/>
      <c r="K85" s="13"/>
      <c r="L85" s="14"/>
      <c r="M85" s="14"/>
      <c r="N85" s="14"/>
      <c r="O85" s="14"/>
      <c r="P85" s="14"/>
      <c r="Q85" s="14"/>
      <c r="R85" s="14"/>
      <c r="S85" s="14"/>
      <c r="T85" s="14"/>
      <c r="U85" s="14"/>
      <c r="V85" s="14"/>
      <c r="W85" s="14"/>
      <c r="X85" s="14"/>
      <c r="Y85" s="14"/>
      <c r="Z85" s="14"/>
      <c r="AA85" s="14"/>
      <c r="AB85" s="13"/>
      <c r="AC85" s="14"/>
    </row>
    <row r="86" spans="2:29">
      <c r="B86" s="10"/>
      <c r="C86" s="11"/>
      <c r="D86" s="14"/>
      <c r="E86" s="14"/>
      <c r="F86" s="14"/>
      <c r="G86" s="14"/>
      <c r="H86" s="14"/>
      <c r="I86" s="14"/>
      <c r="J86" s="14"/>
      <c r="K86" s="13"/>
      <c r="L86" s="14"/>
      <c r="M86" s="14"/>
      <c r="N86" s="14"/>
      <c r="O86" s="14"/>
      <c r="P86" s="14"/>
      <c r="Q86" s="14"/>
      <c r="R86" s="14"/>
      <c r="S86" s="14"/>
      <c r="T86" s="14"/>
      <c r="U86" s="14"/>
      <c r="V86" s="14"/>
      <c r="W86" s="14"/>
      <c r="X86" s="14"/>
      <c r="Y86" s="14"/>
      <c r="Z86" s="14"/>
      <c r="AA86" s="14"/>
      <c r="AB86" s="13"/>
      <c r="AC86" s="14"/>
    </row>
    <row r="87" spans="2:29">
      <c r="B87" s="10"/>
      <c r="C87" s="11"/>
      <c r="D87" s="14"/>
      <c r="E87" s="14"/>
      <c r="F87" s="14"/>
      <c r="G87" s="14"/>
      <c r="H87" s="14"/>
      <c r="I87" s="14"/>
      <c r="J87" s="14"/>
      <c r="K87" s="13"/>
      <c r="L87" s="14"/>
      <c r="M87" s="14"/>
      <c r="N87" s="14"/>
      <c r="O87" s="14"/>
      <c r="P87" s="14"/>
      <c r="Q87" s="14"/>
      <c r="R87" s="14"/>
      <c r="S87" s="14"/>
      <c r="T87" s="14"/>
      <c r="U87" s="14"/>
      <c r="V87" s="14"/>
      <c r="W87" s="14"/>
      <c r="X87" s="14"/>
      <c r="Y87" s="14"/>
      <c r="Z87" s="14"/>
      <c r="AA87" s="14"/>
      <c r="AB87" s="13"/>
      <c r="AC87" s="14"/>
    </row>
    <row r="88" spans="2:29">
      <c r="B88" s="10"/>
      <c r="C88" s="11"/>
      <c r="D88" s="14"/>
      <c r="E88" s="14"/>
      <c r="F88" s="14"/>
      <c r="G88" s="14"/>
      <c r="H88" s="14"/>
      <c r="I88" s="14"/>
      <c r="J88" s="14"/>
      <c r="K88" s="13"/>
      <c r="L88" s="14"/>
      <c r="M88" s="14"/>
      <c r="N88" s="14"/>
      <c r="O88" s="14"/>
      <c r="P88" s="14"/>
      <c r="Q88" s="14"/>
      <c r="R88" s="14"/>
      <c r="S88" s="14"/>
      <c r="T88" s="14"/>
      <c r="U88" s="14"/>
      <c r="V88" s="14"/>
      <c r="W88" s="14"/>
      <c r="X88" s="14"/>
      <c r="Y88" s="14"/>
      <c r="Z88" s="14"/>
      <c r="AA88" s="14"/>
      <c r="AB88" s="13"/>
      <c r="AC88" s="14"/>
    </row>
    <row r="89" spans="2:29">
      <c r="B89" s="10"/>
      <c r="C89" s="11"/>
      <c r="D89" s="14"/>
      <c r="E89" s="14"/>
      <c r="F89" s="14"/>
      <c r="G89" s="14"/>
      <c r="H89" s="14"/>
      <c r="I89" s="14"/>
      <c r="J89" s="14"/>
      <c r="K89" s="13"/>
      <c r="L89" s="14"/>
      <c r="M89" s="14"/>
      <c r="N89" s="14"/>
      <c r="O89" s="14"/>
      <c r="P89" s="14"/>
      <c r="Q89" s="14"/>
      <c r="R89" s="14"/>
      <c r="S89" s="14"/>
      <c r="T89" s="14"/>
      <c r="U89" s="14"/>
      <c r="V89" s="14"/>
      <c r="W89" s="14"/>
      <c r="X89" s="14"/>
      <c r="Y89" s="14"/>
      <c r="Z89" s="14"/>
      <c r="AA89" s="14"/>
      <c r="AB89" s="13"/>
      <c r="AC89" s="14"/>
    </row>
    <row r="90" spans="2:29">
      <c r="B90" s="10"/>
      <c r="C90" s="11"/>
      <c r="D90" s="14"/>
      <c r="E90" s="14"/>
      <c r="F90" s="14"/>
      <c r="G90" s="14"/>
      <c r="H90" s="14"/>
      <c r="I90" s="14"/>
      <c r="J90" s="14"/>
      <c r="K90" s="13"/>
      <c r="L90" s="14"/>
      <c r="M90" s="14"/>
      <c r="N90" s="14"/>
      <c r="O90" s="14"/>
      <c r="P90" s="14"/>
      <c r="Q90" s="14"/>
      <c r="R90" s="14"/>
      <c r="S90" s="14"/>
      <c r="T90" s="14"/>
      <c r="U90" s="14"/>
      <c r="V90" s="14"/>
      <c r="W90" s="14"/>
      <c r="X90" s="14"/>
      <c r="Y90" s="14"/>
      <c r="Z90" s="14"/>
      <c r="AA90" s="14"/>
      <c r="AB90" s="13"/>
      <c r="AC90" s="14"/>
    </row>
    <row r="91" spans="2:29">
      <c r="B91" s="10"/>
      <c r="C91" s="11"/>
      <c r="D91" s="14"/>
      <c r="E91" s="14"/>
      <c r="F91" s="14"/>
      <c r="G91" s="14"/>
      <c r="H91" s="14"/>
      <c r="I91" s="14"/>
      <c r="J91" s="14"/>
      <c r="K91" s="13"/>
      <c r="L91" s="14"/>
      <c r="M91" s="14"/>
      <c r="N91" s="14"/>
      <c r="O91" s="14"/>
      <c r="P91" s="14"/>
      <c r="Q91" s="14"/>
      <c r="R91" s="14"/>
      <c r="S91" s="14"/>
      <c r="T91" s="14"/>
      <c r="U91" s="14"/>
      <c r="V91" s="14"/>
      <c r="W91" s="14"/>
      <c r="X91" s="14"/>
      <c r="Y91" s="14"/>
      <c r="Z91" s="14"/>
      <c r="AA91" s="14"/>
      <c r="AB91" s="13"/>
      <c r="AC91" s="14"/>
    </row>
    <row r="92" spans="2:29">
      <c r="D92" s="14"/>
      <c r="E92" s="14"/>
      <c r="F92" s="14"/>
      <c r="G92" s="14"/>
      <c r="H92" s="14"/>
      <c r="I92" s="14"/>
      <c r="J92" s="14"/>
      <c r="K92" s="13"/>
      <c r="L92" s="14"/>
      <c r="M92" s="14"/>
      <c r="N92" s="14"/>
      <c r="O92" s="14"/>
      <c r="P92" s="14"/>
      <c r="Q92" s="14"/>
      <c r="R92" s="14"/>
      <c r="S92" s="14"/>
      <c r="T92" s="14"/>
      <c r="U92" s="14"/>
      <c r="V92" s="14"/>
      <c r="W92" s="14"/>
      <c r="X92" s="14"/>
      <c r="Y92" s="14"/>
      <c r="Z92" s="14"/>
      <c r="AA92" s="14"/>
      <c r="AB92" s="13"/>
      <c r="AC92" s="14"/>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tabSelected="1" topLeftCell="A7" workbookViewId="0">
      <selection activeCell="C8" sqref="C8"/>
    </sheetView>
  </sheetViews>
  <sheetFormatPr defaultColWidth="9.64601769911504" defaultRowHeight="13.5"/>
  <cols>
    <col min="1" max="1" width="4.52212389380531" style="23" customWidth="1"/>
    <col min="2" max="2" width="91.929203539823" style="26" customWidth="1"/>
    <col min="3" max="3" width="62.8318584070796" customWidth="1"/>
    <col min="4" max="9" width="6.52212389380531" customWidth="1"/>
    <col min="10" max="10" width="10.5663716814159" customWidth="1"/>
    <col min="11" max="11" width="9" style="27"/>
    <col min="27" max="27" width="12.9380530973451" customWidth="1"/>
    <col min="28" max="28" width="9" style="27"/>
    <col min="29" max="29" width="19.4424778761062" customWidth="1"/>
  </cols>
  <sheetData>
    <row r="1" s="1" customFormat="1" spans="1:29">
      <c r="A1" s="2" t="s">
        <v>140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t="s">
        <v>141</v>
      </c>
    </row>
    <row r="3" ht="118.15" spans="1:29">
      <c r="A3" s="15" t="s">
        <v>142</v>
      </c>
      <c r="B3" s="10" t="s">
        <v>143</v>
      </c>
      <c r="C3" s="30" t="s">
        <v>144</v>
      </c>
      <c r="D3" s="14">
        <v>5</v>
      </c>
      <c r="E3" s="14">
        <v>5</v>
      </c>
      <c r="F3" s="14">
        <v>5</v>
      </c>
      <c r="G3" s="14">
        <v>5</v>
      </c>
      <c r="H3" s="14">
        <v>5</v>
      </c>
      <c r="I3" s="14">
        <v>5</v>
      </c>
      <c r="J3" s="14">
        <v>5</v>
      </c>
      <c r="K3" s="13">
        <f t="shared" ref="K3:K22" si="0">SUM(D3:J3)</f>
        <v>35</v>
      </c>
      <c r="L3" s="14">
        <v>5</v>
      </c>
      <c r="M3" s="14">
        <v>5</v>
      </c>
      <c r="N3" s="14">
        <v>4</v>
      </c>
      <c r="O3" s="14">
        <v>5</v>
      </c>
      <c r="P3" s="14">
        <v>1</v>
      </c>
      <c r="Q3" s="12">
        <v>4</v>
      </c>
      <c r="R3" s="12">
        <v>4</v>
      </c>
      <c r="S3" s="14">
        <v>5</v>
      </c>
      <c r="T3" s="14">
        <v>5</v>
      </c>
      <c r="U3" s="14">
        <v>5</v>
      </c>
      <c r="V3" s="14">
        <v>5</v>
      </c>
      <c r="W3" s="12">
        <v>4</v>
      </c>
      <c r="X3" s="14">
        <v>1</v>
      </c>
      <c r="Y3" s="14">
        <v>3</v>
      </c>
      <c r="Z3" s="14">
        <v>3</v>
      </c>
      <c r="AA3" s="14">
        <v>3</v>
      </c>
      <c r="AB3" s="13">
        <f t="shared" ref="AB3:AB22" si="1">SUM(L3:AA3)</f>
        <v>62</v>
      </c>
      <c r="AC3" s="31" t="s">
        <v>30</v>
      </c>
    </row>
    <row r="4" ht="131.25" spans="1:29">
      <c r="A4" s="15"/>
      <c r="B4" s="10" t="s">
        <v>145</v>
      </c>
      <c r="C4" s="32" t="s">
        <v>146</v>
      </c>
      <c r="D4" s="14">
        <v>5</v>
      </c>
      <c r="E4" s="14">
        <v>5</v>
      </c>
      <c r="F4" s="14">
        <v>5</v>
      </c>
      <c r="G4" s="14">
        <v>5</v>
      </c>
      <c r="H4" s="14">
        <v>5</v>
      </c>
      <c r="I4" s="14">
        <v>5</v>
      </c>
      <c r="J4" s="14">
        <v>5</v>
      </c>
      <c r="K4" s="13">
        <f t="shared" si="0"/>
        <v>35</v>
      </c>
      <c r="L4" s="14">
        <v>5</v>
      </c>
      <c r="M4" s="14">
        <v>5</v>
      </c>
      <c r="N4" s="14">
        <v>4</v>
      </c>
      <c r="O4" s="14">
        <v>4</v>
      </c>
      <c r="P4" s="14">
        <v>1</v>
      </c>
      <c r="Q4" s="12">
        <v>4</v>
      </c>
      <c r="R4" s="12">
        <v>4</v>
      </c>
      <c r="S4" s="14">
        <v>5</v>
      </c>
      <c r="T4" s="14">
        <v>5</v>
      </c>
      <c r="U4" s="14">
        <v>5</v>
      </c>
      <c r="V4" s="14">
        <v>5</v>
      </c>
      <c r="W4" s="12">
        <v>4</v>
      </c>
      <c r="X4" s="14">
        <v>1</v>
      </c>
      <c r="Y4" s="14">
        <v>3</v>
      </c>
      <c r="Z4" s="14">
        <v>3</v>
      </c>
      <c r="AA4" s="14">
        <v>3</v>
      </c>
      <c r="AB4" s="13">
        <f t="shared" si="1"/>
        <v>61</v>
      </c>
      <c r="AC4" s="33" t="s">
        <v>39</v>
      </c>
    </row>
    <row r="5" ht="108" spans="1:29">
      <c r="A5" s="15"/>
      <c r="B5" s="10" t="s">
        <v>147</v>
      </c>
      <c r="C5" s="11" t="s">
        <v>148</v>
      </c>
      <c r="D5" s="14">
        <v>5</v>
      </c>
      <c r="E5" s="14">
        <v>5</v>
      </c>
      <c r="F5" s="14">
        <v>5</v>
      </c>
      <c r="G5" s="14">
        <v>5</v>
      </c>
      <c r="H5" s="14">
        <v>5</v>
      </c>
      <c r="I5" s="14">
        <v>5</v>
      </c>
      <c r="J5" s="14">
        <v>5</v>
      </c>
      <c r="K5" s="13">
        <f t="shared" si="0"/>
        <v>35</v>
      </c>
      <c r="L5" s="14">
        <v>5</v>
      </c>
      <c r="M5" s="14">
        <v>5</v>
      </c>
      <c r="N5" s="14">
        <v>4</v>
      </c>
      <c r="O5" s="14">
        <v>5</v>
      </c>
      <c r="P5" s="14">
        <v>1</v>
      </c>
      <c r="Q5" s="12">
        <v>4</v>
      </c>
      <c r="R5" s="12">
        <v>4</v>
      </c>
      <c r="S5" s="14">
        <v>5</v>
      </c>
      <c r="T5" s="14">
        <v>5</v>
      </c>
      <c r="U5" s="14">
        <v>5</v>
      </c>
      <c r="V5" s="14">
        <v>5</v>
      </c>
      <c r="W5" s="12">
        <v>4</v>
      </c>
      <c r="X5" s="14">
        <v>1</v>
      </c>
      <c r="Y5" s="14">
        <v>3</v>
      </c>
      <c r="Z5" s="14">
        <v>3</v>
      </c>
      <c r="AA5" s="14">
        <v>3</v>
      </c>
      <c r="AB5" s="13">
        <f t="shared" si="1"/>
        <v>62</v>
      </c>
      <c r="AC5" s="13" t="s">
        <v>39</v>
      </c>
    </row>
    <row r="6" ht="175.5" spans="1:29">
      <c r="A6" s="15" t="s">
        <v>44</v>
      </c>
      <c r="B6" s="10" t="s">
        <v>149</v>
      </c>
      <c r="C6" s="11" t="s">
        <v>150</v>
      </c>
      <c r="D6" s="14">
        <v>5</v>
      </c>
      <c r="E6" s="14">
        <v>5</v>
      </c>
      <c r="F6" s="14">
        <v>5</v>
      </c>
      <c r="G6" s="14">
        <v>5</v>
      </c>
      <c r="H6" s="14">
        <v>5</v>
      </c>
      <c r="I6" s="14">
        <v>5</v>
      </c>
      <c r="J6" s="14">
        <v>5</v>
      </c>
      <c r="K6" s="13">
        <f t="shared" si="0"/>
        <v>35</v>
      </c>
      <c r="L6" s="14">
        <v>4</v>
      </c>
      <c r="M6" s="14">
        <v>5</v>
      </c>
      <c r="N6" s="14">
        <v>4</v>
      </c>
      <c r="O6" s="14">
        <v>5</v>
      </c>
      <c r="P6" s="14">
        <v>2</v>
      </c>
      <c r="Q6" s="12">
        <v>4</v>
      </c>
      <c r="R6" s="12">
        <v>4</v>
      </c>
      <c r="S6" s="14">
        <v>5</v>
      </c>
      <c r="T6" s="14">
        <v>5</v>
      </c>
      <c r="U6" s="14">
        <v>5</v>
      </c>
      <c r="V6" s="14">
        <v>5</v>
      </c>
      <c r="W6" s="12">
        <v>4</v>
      </c>
      <c r="X6" s="14">
        <v>3</v>
      </c>
      <c r="Y6" s="14">
        <v>3</v>
      </c>
      <c r="Z6" s="14">
        <v>3</v>
      </c>
      <c r="AA6" s="14">
        <v>4</v>
      </c>
      <c r="AB6" s="13">
        <f t="shared" si="1"/>
        <v>65</v>
      </c>
      <c r="AC6" s="13" t="s">
        <v>39</v>
      </c>
    </row>
    <row r="7" ht="135" spans="1:29">
      <c r="A7" s="15"/>
      <c r="B7" s="10" t="s">
        <v>151</v>
      </c>
      <c r="C7" s="11" t="s">
        <v>152</v>
      </c>
      <c r="D7" s="14">
        <v>5</v>
      </c>
      <c r="E7" s="14">
        <v>5</v>
      </c>
      <c r="F7" s="14">
        <v>5</v>
      </c>
      <c r="G7" s="14">
        <v>5</v>
      </c>
      <c r="H7" s="14">
        <v>5</v>
      </c>
      <c r="I7" s="14">
        <v>5</v>
      </c>
      <c r="J7" s="14">
        <v>5</v>
      </c>
      <c r="K7" s="13">
        <f t="shared" si="0"/>
        <v>35</v>
      </c>
      <c r="L7" s="14">
        <v>5</v>
      </c>
      <c r="M7" s="14">
        <v>5</v>
      </c>
      <c r="N7" s="14">
        <v>4</v>
      </c>
      <c r="O7" s="14">
        <v>5</v>
      </c>
      <c r="P7" s="14">
        <v>2</v>
      </c>
      <c r="Q7" s="12">
        <v>4</v>
      </c>
      <c r="R7" s="12">
        <v>4</v>
      </c>
      <c r="S7" s="14">
        <v>5</v>
      </c>
      <c r="T7" s="14">
        <v>5</v>
      </c>
      <c r="U7" s="14">
        <v>5</v>
      </c>
      <c r="V7" s="14">
        <v>5</v>
      </c>
      <c r="W7" s="12">
        <v>4</v>
      </c>
      <c r="X7" s="14">
        <v>2</v>
      </c>
      <c r="Y7" s="14">
        <v>4</v>
      </c>
      <c r="Z7" s="14">
        <v>3</v>
      </c>
      <c r="AA7" s="14">
        <v>4</v>
      </c>
      <c r="AB7" s="13">
        <f t="shared" si="1"/>
        <v>66</v>
      </c>
      <c r="AC7" s="14" t="s">
        <v>30</v>
      </c>
    </row>
    <row r="8" ht="108" spans="1:29">
      <c r="A8" s="15"/>
      <c r="B8" s="10" t="s">
        <v>153</v>
      </c>
      <c r="C8" s="11" t="s">
        <v>154</v>
      </c>
      <c r="D8" s="14"/>
      <c r="E8" s="14"/>
      <c r="F8" s="14"/>
      <c r="G8" s="14"/>
      <c r="H8" s="14"/>
      <c r="I8" s="14"/>
      <c r="J8" s="14"/>
      <c r="K8" s="13">
        <f t="shared" si="0"/>
        <v>0</v>
      </c>
      <c r="L8" s="14"/>
      <c r="M8" s="14"/>
      <c r="N8" s="14"/>
      <c r="O8" s="14"/>
      <c r="P8" s="14"/>
      <c r="Q8" s="12"/>
      <c r="R8" s="12"/>
      <c r="S8" s="14"/>
      <c r="T8" s="14"/>
      <c r="U8" s="14"/>
      <c r="V8" s="14"/>
      <c r="W8" s="12"/>
      <c r="X8" s="14"/>
      <c r="Y8" s="14"/>
      <c r="Z8" s="14">
        <v>3</v>
      </c>
      <c r="AA8" s="14"/>
      <c r="AB8" s="13">
        <f t="shared" si="1"/>
        <v>3</v>
      </c>
      <c r="AC8" s="14" t="s">
        <v>30</v>
      </c>
    </row>
    <row r="9" ht="135" spans="1:29">
      <c r="A9" s="15"/>
      <c r="B9" s="10" t="s">
        <v>155</v>
      </c>
      <c r="C9" s="11" t="s">
        <v>156</v>
      </c>
      <c r="D9" s="14">
        <v>5</v>
      </c>
      <c r="E9" s="14">
        <v>5</v>
      </c>
      <c r="F9" s="14">
        <v>5</v>
      </c>
      <c r="G9" s="14">
        <v>5</v>
      </c>
      <c r="H9" s="14">
        <v>5</v>
      </c>
      <c r="I9" s="14">
        <v>5</v>
      </c>
      <c r="J9" s="14">
        <v>5</v>
      </c>
      <c r="K9" s="13">
        <f t="shared" si="0"/>
        <v>35</v>
      </c>
      <c r="L9" s="14">
        <v>5</v>
      </c>
      <c r="M9" s="14">
        <v>5</v>
      </c>
      <c r="N9" s="14">
        <v>4</v>
      </c>
      <c r="O9" s="14">
        <v>5</v>
      </c>
      <c r="P9" s="14">
        <v>2</v>
      </c>
      <c r="Q9" s="12">
        <v>4</v>
      </c>
      <c r="R9" s="12">
        <v>4</v>
      </c>
      <c r="S9" s="14">
        <v>5</v>
      </c>
      <c r="T9" s="14">
        <v>5</v>
      </c>
      <c r="U9" s="14">
        <v>5</v>
      </c>
      <c r="V9" s="14">
        <v>5</v>
      </c>
      <c r="W9" s="12">
        <v>4</v>
      </c>
      <c r="X9" s="14">
        <v>2</v>
      </c>
      <c r="Y9" s="14">
        <v>4</v>
      </c>
      <c r="Z9" s="14">
        <v>3</v>
      </c>
      <c r="AA9" s="14">
        <v>4</v>
      </c>
      <c r="AB9" s="13">
        <f t="shared" si="1"/>
        <v>66</v>
      </c>
      <c r="AC9" s="13" t="s">
        <v>39</v>
      </c>
    </row>
    <row r="10" ht="148.5" spans="1:29">
      <c r="A10" s="15"/>
      <c r="B10" s="10" t="s">
        <v>157</v>
      </c>
      <c r="C10" s="11" t="s">
        <v>158</v>
      </c>
      <c r="D10" s="14"/>
      <c r="E10" s="14"/>
      <c r="F10" s="14"/>
      <c r="G10" s="14"/>
      <c r="H10" s="14"/>
      <c r="I10" s="14"/>
      <c r="J10" s="14"/>
      <c r="K10" s="13">
        <f t="shared" si="0"/>
        <v>0</v>
      </c>
      <c r="L10" s="14"/>
      <c r="M10" s="14"/>
      <c r="N10" s="14"/>
      <c r="O10" s="14"/>
      <c r="P10" s="14"/>
      <c r="Q10" s="12"/>
      <c r="R10" s="12"/>
      <c r="S10" s="14"/>
      <c r="T10" s="14"/>
      <c r="U10" s="14"/>
      <c r="V10" s="14"/>
      <c r="W10" s="12"/>
      <c r="X10" s="14"/>
      <c r="Y10" s="14"/>
      <c r="Z10" s="14">
        <v>3</v>
      </c>
      <c r="AA10" s="14"/>
      <c r="AB10" s="13">
        <f t="shared" si="1"/>
        <v>3</v>
      </c>
      <c r="AC10" s="13" t="s">
        <v>39</v>
      </c>
    </row>
    <row r="11" ht="113" customHeight="1" spans="1:29">
      <c r="A11" s="15"/>
      <c r="B11" s="10" t="s">
        <v>159</v>
      </c>
      <c r="C11" s="11" t="s">
        <v>160</v>
      </c>
      <c r="D11" s="14">
        <v>5</v>
      </c>
      <c r="E11" s="14">
        <v>5</v>
      </c>
      <c r="F11" s="14">
        <v>5</v>
      </c>
      <c r="G11" s="14">
        <v>5</v>
      </c>
      <c r="H11" s="14">
        <v>5</v>
      </c>
      <c r="I11" s="14">
        <v>5</v>
      </c>
      <c r="J11" s="14">
        <v>5</v>
      </c>
      <c r="K11" s="13">
        <f t="shared" si="0"/>
        <v>35</v>
      </c>
      <c r="L11" s="14">
        <v>5</v>
      </c>
      <c r="M11" s="14">
        <v>5</v>
      </c>
      <c r="N11" s="14">
        <v>4</v>
      </c>
      <c r="O11" s="14">
        <v>5</v>
      </c>
      <c r="P11" s="14">
        <v>2</v>
      </c>
      <c r="Q11" s="12">
        <v>4</v>
      </c>
      <c r="R11" s="12">
        <v>4</v>
      </c>
      <c r="S11" s="14">
        <v>5</v>
      </c>
      <c r="T11" s="14">
        <v>5</v>
      </c>
      <c r="U11" s="14">
        <v>5</v>
      </c>
      <c r="V11" s="14">
        <v>5</v>
      </c>
      <c r="W11" s="12">
        <v>4</v>
      </c>
      <c r="X11" s="14">
        <v>2</v>
      </c>
      <c r="Y11" s="14">
        <v>3</v>
      </c>
      <c r="Z11" s="14">
        <v>3</v>
      </c>
      <c r="AA11" s="14">
        <v>3</v>
      </c>
      <c r="AB11" s="13">
        <f t="shared" si="1"/>
        <v>64</v>
      </c>
      <c r="AC11" s="14" t="s">
        <v>30</v>
      </c>
    </row>
    <row r="12" ht="149.25" spans="1:29">
      <c r="A12" s="15"/>
      <c r="B12" s="10" t="s">
        <v>161</v>
      </c>
      <c r="C12" s="11" t="s">
        <v>162</v>
      </c>
      <c r="D12" s="14">
        <v>5</v>
      </c>
      <c r="E12" s="14">
        <v>5</v>
      </c>
      <c r="F12" s="14">
        <v>5</v>
      </c>
      <c r="G12" s="14">
        <v>5</v>
      </c>
      <c r="H12" s="14">
        <v>5</v>
      </c>
      <c r="I12" s="14">
        <v>5</v>
      </c>
      <c r="J12" s="14">
        <v>5</v>
      </c>
      <c r="K12" s="13">
        <f t="shared" si="0"/>
        <v>35</v>
      </c>
      <c r="L12" s="14">
        <v>5</v>
      </c>
      <c r="M12" s="14">
        <v>5</v>
      </c>
      <c r="N12" s="14">
        <v>4</v>
      </c>
      <c r="O12" s="14">
        <v>5</v>
      </c>
      <c r="P12" s="14">
        <v>3</v>
      </c>
      <c r="Q12" s="12">
        <v>4</v>
      </c>
      <c r="R12" s="12">
        <v>4</v>
      </c>
      <c r="S12" s="14">
        <v>5</v>
      </c>
      <c r="T12" s="14">
        <v>5</v>
      </c>
      <c r="U12" s="14">
        <v>5</v>
      </c>
      <c r="V12" s="14">
        <v>4</v>
      </c>
      <c r="W12" s="12">
        <v>4</v>
      </c>
      <c r="X12" s="14">
        <v>3</v>
      </c>
      <c r="Y12" s="14">
        <v>4</v>
      </c>
      <c r="Z12" s="14">
        <v>3</v>
      </c>
      <c r="AA12" s="14">
        <v>4</v>
      </c>
      <c r="AB12" s="13">
        <f t="shared" si="1"/>
        <v>67</v>
      </c>
      <c r="AC12" s="14" t="s">
        <v>30</v>
      </c>
    </row>
    <row r="13" ht="243" spans="1:29">
      <c r="A13" s="15" t="s">
        <v>163</v>
      </c>
      <c r="B13" s="10" t="s">
        <v>164</v>
      </c>
      <c r="C13" s="11" t="s">
        <v>165</v>
      </c>
      <c r="D13" s="14">
        <v>5</v>
      </c>
      <c r="E13" s="14">
        <v>5</v>
      </c>
      <c r="F13" s="14">
        <v>5</v>
      </c>
      <c r="G13" s="14">
        <v>5</v>
      </c>
      <c r="H13" s="14">
        <v>5</v>
      </c>
      <c r="I13" s="14">
        <v>5</v>
      </c>
      <c r="J13" s="14">
        <v>5</v>
      </c>
      <c r="K13" s="13">
        <f t="shared" si="0"/>
        <v>35</v>
      </c>
      <c r="L13" s="14">
        <v>5</v>
      </c>
      <c r="M13" s="14">
        <v>5</v>
      </c>
      <c r="N13" s="14">
        <v>4</v>
      </c>
      <c r="O13" s="14">
        <v>5</v>
      </c>
      <c r="P13" s="14">
        <v>3</v>
      </c>
      <c r="Q13" s="12">
        <v>4</v>
      </c>
      <c r="R13" s="12">
        <v>4</v>
      </c>
      <c r="S13" s="14">
        <v>5</v>
      </c>
      <c r="T13" s="14">
        <v>5</v>
      </c>
      <c r="U13" s="14">
        <v>5</v>
      </c>
      <c r="V13" s="14">
        <v>5</v>
      </c>
      <c r="W13" s="12">
        <v>4</v>
      </c>
      <c r="X13" s="14">
        <v>3</v>
      </c>
      <c r="Y13" s="14">
        <v>4</v>
      </c>
      <c r="Z13" s="14">
        <v>3</v>
      </c>
      <c r="AA13" s="14">
        <v>4</v>
      </c>
      <c r="AB13" s="13">
        <f t="shared" si="1"/>
        <v>68</v>
      </c>
      <c r="AC13" s="14" t="s">
        <v>30</v>
      </c>
    </row>
    <row r="14" ht="195" customHeight="1" spans="1:29">
      <c r="A14" s="15"/>
      <c r="B14" s="10" t="s">
        <v>166</v>
      </c>
      <c r="C14" s="11" t="s">
        <v>167</v>
      </c>
      <c r="D14" s="14">
        <v>5</v>
      </c>
      <c r="E14" s="14">
        <v>5</v>
      </c>
      <c r="F14" s="14">
        <v>5</v>
      </c>
      <c r="G14" s="14">
        <v>5</v>
      </c>
      <c r="H14" s="14">
        <v>5</v>
      </c>
      <c r="I14" s="14">
        <v>5</v>
      </c>
      <c r="J14" s="14">
        <v>5</v>
      </c>
      <c r="K14" s="13">
        <f t="shared" si="0"/>
        <v>35</v>
      </c>
      <c r="L14" s="14">
        <v>5</v>
      </c>
      <c r="M14" s="14">
        <v>5</v>
      </c>
      <c r="N14" s="14">
        <v>4</v>
      </c>
      <c r="O14" s="14">
        <v>5</v>
      </c>
      <c r="P14" s="14">
        <v>3</v>
      </c>
      <c r="Q14" s="12">
        <v>4</v>
      </c>
      <c r="R14" s="12">
        <v>4</v>
      </c>
      <c r="S14" s="14">
        <v>5</v>
      </c>
      <c r="T14" s="14">
        <v>5</v>
      </c>
      <c r="U14" s="14">
        <v>5</v>
      </c>
      <c r="V14" s="14">
        <v>5</v>
      </c>
      <c r="W14" s="12">
        <v>4</v>
      </c>
      <c r="X14" s="14">
        <v>3</v>
      </c>
      <c r="Y14" s="14">
        <v>4</v>
      </c>
      <c r="Z14" s="14">
        <v>3</v>
      </c>
      <c r="AA14" s="14">
        <v>4</v>
      </c>
      <c r="AB14" s="13">
        <f t="shared" si="1"/>
        <v>68</v>
      </c>
      <c r="AC14" s="14" t="s">
        <v>30</v>
      </c>
    </row>
    <row r="15" ht="216" spans="1:29">
      <c r="A15" s="21"/>
      <c r="B15" s="10" t="s">
        <v>168</v>
      </c>
      <c r="C15" s="11" t="s">
        <v>169</v>
      </c>
      <c r="D15" s="14">
        <v>5</v>
      </c>
      <c r="E15" s="14">
        <v>5</v>
      </c>
      <c r="F15" s="14">
        <v>5</v>
      </c>
      <c r="G15" s="14">
        <v>5</v>
      </c>
      <c r="H15" s="14">
        <v>5</v>
      </c>
      <c r="I15" s="14">
        <v>5</v>
      </c>
      <c r="J15" s="14">
        <v>5</v>
      </c>
      <c r="K15" s="13">
        <f t="shared" si="0"/>
        <v>35</v>
      </c>
      <c r="L15" s="14">
        <v>5</v>
      </c>
      <c r="M15" s="14">
        <v>5</v>
      </c>
      <c r="N15" s="14">
        <v>4</v>
      </c>
      <c r="O15" s="14">
        <v>5</v>
      </c>
      <c r="P15" s="14">
        <v>3</v>
      </c>
      <c r="Q15" s="12">
        <v>4</v>
      </c>
      <c r="R15" s="12">
        <v>4</v>
      </c>
      <c r="S15" s="14">
        <v>5</v>
      </c>
      <c r="T15" s="14">
        <v>5</v>
      </c>
      <c r="U15" s="14">
        <v>5</v>
      </c>
      <c r="V15" s="14">
        <v>5</v>
      </c>
      <c r="W15" s="12">
        <v>4</v>
      </c>
      <c r="X15" s="14">
        <v>3</v>
      </c>
      <c r="Y15" s="14">
        <v>4</v>
      </c>
      <c r="Z15" s="14">
        <v>3</v>
      </c>
      <c r="AA15" s="14">
        <v>4</v>
      </c>
      <c r="AB15" s="13">
        <f t="shared" si="1"/>
        <v>68</v>
      </c>
      <c r="AC15" s="13" t="s">
        <v>39</v>
      </c>
    </row>
    <row r="16" ht="202.5" spans="1:29">
      <c r="A16" s="21"/>
      <c r="B16" s="10" t="s">
        <v>170</v>
      </c>
      <c r="C16" s="11" t="s">
        <v>171</v>
      </c>
      <c r="D16" s="14">
        <v>4</v>
      </c>
      <c r="E16" s="14">
        <v>5</v>
      </c>
      <c r="F16" s="14">
        <v>5</v>
      </c>
      <c r="G16" s="14">
        <v>5</v>
      </c>
      <c r="H16" s="14">
        <v>5</v>
      </c>
      <c r="I16" s="14">
        <v>5</v>
      </c>
      <c r="J16" s="14">
        <v>5</v>
      </c>
      <c r="K16" s="13">
        <f t="shared" si="0"/>
        <v>34</v>
      </c>
      <c r="L16" s="14">
        <v>4</v>
      </c>
      <c r="M16" s="14">
        <v>5</v>
      </c>
      <c r="N16" s="14">
        <v>4</v>
      </c>
      <c r="O16" s="14">
        <v>5</v>
      </c>
      <c r="P16" s="14">
        <v>3</v>
      </c>
      <c r="Q16" s="12">
        <v>4</v>
      </c>
      <c r="R16" s="12">
        <v>4</v>
      </c>
      <c r="S16" s="14">
        <v>5</v>
      </c>
      <c r="T16" s="14">
        <v>5</v>
      </c>
      <c r="U16" s="14">
        <v>5</v>
      </c>
      <c r="V16" s="14">
        <v>5</v>
      </c>
      <c r="W16" s="12">
        <v>4</v>
      </c>
      <c r="X16" s="14">
        <v>3</v>
      </c>
      <c r="Y16" s="14">
        <v>4</v>
      </c>
      <c r="Z16" s="14">
        <v>3</v>
      </c>
      <c r="AA16" s="14">
        <v>4</v>
      </c>
      <c r="AB16" s="13">
        <f t="shared" si="1"/>
        <v>67</v>
      </c>
      <c r="AC16" s="13" t="s">
        <v>172</v>
      </c>
    </row>
    <row r="17" ht="148.5" spans="1:29">
      <c r="A17" s="15" t="s">
        <v>110</v>
      </c>
      <c r="B17" s="10" t="s">
        <v>173</v>
      </c>
      <c r="C17" s="11" t="s">
        <v>174</v>
      </c>
      <c r="D17" s="14">
        <v>5</v>
      </c>
      <c r="E17" s="14">
        <v>5</v>
      </c>
      <c r="F17" s="14">
        <v>5</v>
      </c>
      <c r="G17" s="14">
        <v>5</v>
      </c>
      <c r="H17" s="14">
        <v>5</v>
      </c>
      <c r="I17" s="14">
        <v>5</v>
      </c>
      <c r="J17" s="14">
        <v>5</v>
      </c>
      <c r="K17" s="13">
        <f t="shared" si="0"/>
        <v>35</v>
      </c>
      <c r="L17" s="14">
        <v>5</v>
      </c>
      <c r="M17" s="14">
        <v>5</v>
      </c>
      <c r="N17" s="14">
        <v>4</v>
      </c>
      <c r="O17" s="14">
        <v>5</v>
      </c>
      <c r="P17" s="14">
        <v>1</v>
      </c>
      <c r="Q17" s="12">
        <v>4</v>
      </c>
      <c r="R17" s="12">
        <v>4</v>
      </c>
      <c r="S17" s="14">
        <v>5</v>
      </c>
      <c r="T17" s="14">
        <v>5</v>
      </c>
      <c r="U17" s="14">
        <v>5</v>
      </c>
      <c r="V17" s="14">
        <v>5</v>
      </c>
      <c r="W17" s="12">
        <v>4</v>
      </c>
      <c r="X17" s="14">
        <v>1</v>
      </c>
      <c r="Y17" s="14">
        <v>3</v>
      </c>
      <c r="Z17" s="14">
        <v>3</v>
      </c>
      <c r="AA17" s="14">
        <v>3</v>
      </c>
      <c r="AB17" s="13">
        <f t="shared" si="1"/>
        <v>62</v>
      </c>
      <c r="AC17" s="14" t="s">
        <v>175</v>
      </c>
    </row>
    <row r="18" ht="162" spans="1:29">
      <c r="A18" s="15"/>
      <c r="B18" s="10" t="s">
        <v>176</v>
      </c>
      <c r="C18" s="11" t="s">
        <v>177</v>
      </c>
      <c r="D18" s="14">
        <v>5</v>
      </c>
      <c r="E18" s="14">
        <v>5</v>
      </c>
      <c r="F18" s="14">
        <v>5</v>
      </c>
      <c r="G18" s="14">
        <v>5</v>
      </c>
      <c r="H18" s="14">
        <v>5</v>
      </c>
      <c r="I18" s="14">
        <v>5</v>
      </c>
      <c r="J18" s="14">
        <v>5</v>
      </c>
      <c r="K18" s="13">
        <f t="shared" si="0"/>
        <v>35</v>
      </c>
      <c r="L18" s="14">
        <v>5</v>
      </c>
      <c r="M18" s="14">
        <v>5</v>
      </c>
      <c r="N18" s="14">
        <v>4</v>
      </c>
      <c r="O18" s="14">
        <v>5</v>
      </c>
      <c r="P18" s="14">
        <v>1</v>
      </c>
      <c r="Q18" s="12">
        <v>4</v>
      </c>
      <c r="R18" s="12">
        <v>4</v>
      </c>
      <c r="S18" s="14">
        <v>5</v>
      </c>
      <c r="T18" s="14">
        <v>5</v>
      </c>
      <c r="U18" s="14">
        <v>5</v>
      </c>
      <c r="V18" s="14">
        <v>5</v>
      </c>
      <c r="W18" s="12">
        <v>4</v>
      </c>
      <c r="X18" s="14">
        <v>1</v>
      </c>
      <c r="Y18" s="14">
        <v>3</v>
      </c>
      <c r="Z18" s="14">
        <v>3</v>
      </c>
      <c r="AA18" s="14">
        <v>3</v>
      </c>
      <c r="AB18" s="13">
        <f t="shared" si="1"/>
        <v>62</v>
      </c>
      <c r="AC18" s="14" t="s">
        <v>30</v>
      </c>
    </row>
    <row r="19" ht="148.5" spans="1:29">
      <c r="A19" s="15"/>
      <c r="B19" s="10" t="s">
        <v>178</v>
      </c>
      <c r="C19" s="11" t="s">
        <v>179</v>
      </c>
      <c r="D19" s="14">
        <v>5</v>
      </c>
      <c r="E19" s="14">
        <v>5</v>
      </c>
      <c r="F19" s="14">
        <v>5</v>
      </c>
      <c r="G19" s="14">
        <v>5</v>
      </c>
      <c r="H19" s="14">
        <v>5</v>
      </c>
      <c r="I19" s="14">
        <v>5</v>
      </c>
      <c r="J19" s="14">
        <v>5</v>
      </c>
      <c r="K19" s="13">
        <f t="shared" si="0"/>
        <v>35</v>
      </c>
      <c r="L19" s="14">
        <v>5</v>
      </c>
      <c r="M19" s="14">
        <v>5</v>
      </c>
      <c r="N19" s="14">
        <v>4</v>
      </c>
      <c r="O19" s="14">
        <v>5</v>
      </c>
      <c r="P19" s="14">
        <v>1</v>
      </c>
      <c r="Q19" s="12">
        <v>4</v>
      </c>
      <c r="R19" s="12">
        <v>4</v>
      </c>
      <c r="S19" s="14">
        <v>5</v>
      </c>
      <c r="T19" s="14">
        <v>5</v>
      </c>
      <c r="U19" s="14">
        <v>5</v>
      </c>
      <c r="V19" s="14">
        <v>5</v>
      </c>
      <c r="W19" s="12">
        <v>4</v>
      </c>
      <c r="X19" s="14">
        <v>1</v>
      </c>
      <c r="Y19" s="14">
        <v>3</v>
      </c>
      <c r="Z19" s="14">
        <v>3</v>
      </c>
      <c r="AA19" s="14">
        <v>3</v>
      </c>
      <c r="AB19" s="13">
        <f t="shared" si="1"/>
        <v>62</v>
      </c>
      <c r="AC19" s="14" t="s">
        <v>180</v>
      </c>
    </row>
    <row r="20" customFormat="1" ht="148.5" spans="1:29">
      <c r="A20" s="23" t="s">
        <v>117</v>
      </c>
      <c r="B20" s="10" t="s">
        <v>181</v>
      </c>
      <c r="C20" s="11" t="s">
        <v>182</v>
      </c>
      <c r="D20" s="14">
        <v>5</v>
      </c>
      <c r="E20" s="14">
        <v>5</v>
      </c>
      <c r="F20" s="14">
        <v>4</v>
      </c>
      <c r="G20" s="14">
        <v>5</v>
      </c>
      <c r="H20" s="14">
        <v>5</v>
      </c>
      <c r="I20" s="14">
        <v>5</v>
      </c>
      <c r="J20" s="14">
        <v>5</v>
      </c>
      <c r="K20" s="13">
        <f t="shared" si="0"/>
        <v>34</v>
      </c>
      <c r="L20" s="14">
        <v>5</v>
      </c>
      <c r="M20" s="14">
        <v>5</v>
      </c>
      <c r="N20" s="14">
        <v>4</v>
      </c>
      <c r="O20" s="14">
        <v>5</v>
      </c>
      <c r="P20" s="14">
        <v>2</v>
      </c>
      <c r="Q20" s="12">
        <v>4</v>
      </c>
      <c r="R20" s="12">
        <v>3</v>
      </c>
      <c r="S20" s="14">
        <v>5</v>
      </c>
      <c r="T20" s="14">
        <v>5</v>
      </c>
      <c r="U20" s="14">
        <v>5</v>
      </c>
      <c r="V20" s="14">
        <v>5</v>
      </c>
      <c r="W20" s="12">
        <v>4</v>
      </c>
      <c r="X20" s="14">
        <v>2</v>
      </c>
      <c r="Y20" s="14">
        <v>3</v>
      </c>
      <c r="Z20" s="14">
        <v>3</v>
      </c>
      <c r="AA20" s="14">
        <v>3</v>
      </c>
      <c r="AB20" s="13">
        <f t="shared" si="1"/>
        <v>63</v>
      </c>
      <c r="AC20" s="14" t="s">
        <v>30</v>
      </c>
    </row>
    <row r="21" ht="94.5" spans="1:29">
      <c r="A21" s="24"/>
      <c r="B21" s="10" t="s">
        <v>183</v>
      </c>
      <c r="C21" s="11" t="s">
        <v>184</v>
      </c>
      <c r="D21" s="14">
        <v>4</v>
      </c>
      <c r="E21" s="14">
        <v>5</v>
      </c>
      <c r="F21" s="14">
        <v>5</v>
      </c>
      <c r="G21" s="14">
        <v>5</v>
      </c>
      <c r="H21" s="14">
        <v>5</v>
      </c>
      <c r="I21" s="14">
        <v>5</v>
      </c>
      <c r="J21" s="14">
        <v>5</v>
      </c>
      <c r="K21" s="13">
        <f t="shared" si="0"/>
        <v>34</v>
      </c>
      <c r="L21" s="14">
        <v>4</v>
      </c>
      <c r="M21" s="14">
        <v>5</v>
      </c>
      <c r="N21" s="14">
        <v>4</v>
      </c>
      <c r="O21" s="14">
        <v>5</v>
      </c>
      <c r="P21" s="14">
        <v>2</v>
      </c>
      <c r="Q21" s="12">
        <v>4</v>
      </c>
      <c r="R21" s="12">
        <v>3</v>
      </c>
      <c r="S21" s="14">
        <v>5</v>
      </c>
      <c r="T21" s="14">
        <v>5</v>
      </c>
      <c r="U21" s="14">
        <v>5</v>
      </c>
      <c r="V21" s="14">
        <v>5</v>
      </c>
      <c r="W21" s="12">
        <v>4</v>
      </c>
      <c r="X21" s="14">
        <v>2</v>
      </c>
      <c r="Y21" s="14">
        <v>3</v>
      </c>
      <c r="Z21" s="14">
        <v>3</v>
      </c>
      <c r="AA21" s="14">
        <v>3</v>
      </c>
      <c r="AB21" s="13">
        <f t="shared" si="1"/>
        <v>62</v>
      </c>
      <c r="AC21" s="14" t="s">
        <v>30</v>
      </c>
    </row>
    <row r="22" customFormat="1" ht="94.5" spans="1:29">
      <c r="A22" s="23"/>
      <c r="B22" s="10" t="s">
        <v>185</v>
      </c>
      <c r="C22" s="11" t="s">
        <v>186</v>
      </c>
      <c r="D22" s="14">
        <v>5</v>
      </c>
      <c r="E22" s="14">
        <v>5</v>
      </c>
      <c r="F22" s="14">
        <v>5</v>
      </c>
      <c r="G22" s="14">
        <v>5</v>
      </c>
      <c r="H22" s="14">
        <v>5</v>
      </c>
      <c r="I22" s="14">
        <v>5</v>
      </c>
      <c r="J22" s="14">
        <v>5</v>
      </c>
      <c r="K22" s="13">
        <f t="shared" si="0"/>
        <v>35</v>
      </c>
      <c r="L22" s="14">
        <v>5</v>
      </c>
      <c r="M22" s="14">
        <v>5</v>
      </c>
      <c r="N22" s="14">
        <v>4</v>
      </c>
      <c r="O22" s="14">
        <v>5</v>
      </c>
      <c r="P22" s="14">
        <v>2</v>
      </c>
      <c r="Q22" s="12">
        <v>4</v>
      </c>
      <c r="R22" s="12">
        <v>3</v>
      </c>
      <c r="S22" s="14">
        <v>5</v>
      </c>
      <c r="T22" s="14">
        <v>5</v>
      </c>
      <c r="U22" s="14">
        <v>5</v>
      </c>
      <c r="V22" s="14">
        <v>5</v>
      </c>
      <c r="W22" s="12">
        <v>4</v>
      </c>
      <c r="X22" s="14">
        <v>2</v>
      </c>
      <c r="Y22" s="14">
        <v>4</v>
      </c>
      <c r="Z22" s="14">
        <v>3</v>
      </c>
      <c r="AA22" s="14">
        <v>4</v>
      </c>
      <c r="AB22" s="13">
        <f t="shared" si="1"/>
        <v>65</v>
      </c>
      <c r="AC22" s="13" t="s">
        <v>39</v>
      </c>
    </row>
    <row r="23" customFormat="1" spans="1:29">
      <c r="A23" s="23"/>
      <c r="B23" s="10"/>
      <c r="C23" s="11"/>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t="s">
        <v>187</v>
      </c>
    </row>
    <row r="24" customFormat="1" spans="1:29">
      <c r="A24" s="23"/>
      <c r="B24" s="10"/>
      <c r="C24" s="11"/>
      <c r="D24" s="14"/>
      <c r="E24" s="14"/>
      <c r="F24" s="14"/>
      <c r="G24" s="14"/>
      <c r="H24" s="14"/>
      <c r="I24" s="14"/>
      <c r="J24" s="14"/>
      <c r="K24" s="13"/>
      <c r="L24" s="14"/>
      <c r="M24" s="14"/>
      <c r="N24" s="14"/>
      <c r="O24" s="14"/>
      <c r="P24" s="14"/>
      <c r="Q24" s="14"/>
      <c r="R24" s="14"/>
      <c r="S24" s="14"/>
      <c r="T24" s="14"/>
      <c r="U24" s="14"/>
      <c r="V24" s="14"/>
      <c r="W24" s="14"/>
      <c r="X24" s="14"/>
      <c r="Y24" s="14"/>
      <c r="Z24" s="14"/>
      <c r="AA24" s="14"/>
      <c r="AB24" s="13"/>
      <c r="AC24" s="14" t="s">
        <v>188</v>
      </c>
    </row>
    <row r="25" customFormat="1" spans="1:29">
      <c r="A25" s="23"/>
      <c r="B25" s="10"/>
      <c r="C25" s="11"/>
      <c r="D25" s="14"/>
      <c r="E25" s="14"/>
      <c r="F25" s="14"/>
      <c r="G25" s="14"/>
      <c r="H25" s="14"/>
      <c r="I25" s="14"/>
      <c r="J25" s="14"/>
      <c r="K25" s="13"/>
      <c r="L25" s="14"/>
      <c r="M25" s="14"/>
      <c r="N25" s="14"/>
      <c r="O25" s="14"/>
      <c r="P25" s="14"/>
      <c r="Q25" s="14"/>
      <c r="R25" s="14"/>
      <c r="S25" s="14"/>
      <c r="T25" s="14"/>
      <c r="U25" s="14"/>
      <c r="V25" s="14"/>
      <c r="W25" s="14"/>
      <c r="X25" s="14"/>
      <c r="Y25" s="14"/>
      <c r="Z25" s="14"/>
      <c r="AA25" s="14"/>
      <c r="AB25" s="13"/>
      <c r="AC25" s="14" t="s">
        <v>189</v>
      </c>
    </row>
    <row r="26" customFormat="1" spans="1:29">
      <c r="A26" s="23"/>
      <c r="B26" s="10"/>
      <c r="C26" s="11"/>
      <c r="D26" s="14"/>
      <c r="E26" s="14"/>
      <c r="F26" s="14"/>
      <c r="G26" s="14"/>
      <c r="H26" s="14"/>
      <c r="I26" s="14"/>
      <c r="J26" s="14"/>
      <c r="K26" s="13"/>
      <c r="L26" s="14"/>
      <c r="M26" s="14"/>
      <c r="N26" s="14"/>
      <c r="O26" s="14"/>
      <c r="P26" s="14"/>
      <c r="Q26" s="14"/>
      <c r="R26" s="14"/>
      <c r="S26" s="14"/>
      <c r="T26" s="14"/>
      <c r="U26" s="14"/>
      <c r="V26" s="14"/>
      <c r="W26" s="14"/>
      <c r="X26" s="14"/>
      <c r="Y26" s="14"/>
      <c r="Z26" s="14"/>
      <c r="AA26" s="14"/>
      <c r="AB26" s="13"/>
      <c r="AC26" s="14" t="s">
        <v>190</v>
      </c>
    </row>
    <row r="27" customFormat="1" spans="1:29">
      <c r="A27" s="23"/>
      <c r="B27" s="10"/>
      <c r="C27" s="11"/>
      <c r="D27" s="14"/>
      <c r="E27" s="14"/>
      <c r="F27" s="14"/>
      <c r="G27" s="14"/>
      <c r="H27" s="14"/>
      <c r="I27" s="14"/>
      <c r="J27" s="14"/>
      <c r="K27" s="13"/>
      <c r="L27" s="14"/>
      <c r="M27" s="14"/>
      <c r="N27" s="14"/>
      <c r="O27" s="14"/>
      <c r="P27" s="14"/>
      <c r="Q27" s="14"/>
      <c r="R27" s="14"/>
      <c r="S27" s="14"/>
      <c r="T27" s="14"/>
      <c r="U27" s="14"/>
      <c r="V27" s="14"/>
      <c r="W27" s="14"/>
      <c r="X27" s="14"/>
      <c r="Y27" s="14"/>
      <c r="Z27" s="14"/>
      <c r="AA27" s="14"/>
      <c r="AB27" s="13"/>
      <c r="AC27" s="14" t="s">
        <v>191</v>
      </c>
    </row>
    <row r="28" customFormat="1" spans="1:29">
      <c r="A28" s="23"/>
      <c r="B28" s="10"/>
      <c r="C28" s="11"/>
      <c r="D28" s="14"/>
      <c r="E28" s="14"/>
      <c r="F28" s="14"/>
      <c r="G28" s="14"/>
      <c r="H28" s="14"/>
      <c r="I28" s="14"/>
      <c r="J28" s="14"/>
      <c r="K28" s="13"/>
      <c r="L28" s="14"/>
      <c r="M28" s="14"/>
      <c r="N28" s="14"/>
      <c r="O28" s="14"/>
      <c r="P28" s="14"/>
      <c r="Q28" s="14"/>
      <c r="R28" s="14"/>
      <c r="S28" s="14"/>
      <c r="T28" s="14"/>
      <c r="U28" s="14"/>
      <c r="V28" s="14"/>
      <c r="W28" s="14"/>
      <c r="X28" s="14"/>
      <c r="Y28" s="14"/>
      <c r="Z28" s="14"/>
      <c r="AA28" s="14"/>
      <c r="AB28" s="13"/>
      <c r="AC28" s="14" t="s">
        <v>192</v>
      </c>
    </row>
    <row r="29" customFormat="1" spans="1:29">
      <c r="A29" s="23"/>
      <c r="B29" s="10"/>
      <c r="C29" s="11"/>
      <c r="D29" s="14"/>
      <c r="E29" s="14"/>
      <c r="F29" s="14"/>
      <c r="G29" s="14"/>
      <c r="H29" s="14"/>
      <c r="I29" s="14"/>
      <c r="J29" s="14"/>
      <c r="K29" s="13"/>
      <c r="L29" s="14"/>
      <c r="M29" s="14"/>
      <c r="N29" s="14"/>
      <c r="O29" s="14"/>
      <c r="P29" s="14"/>
      <c r="Q29" s="14"/>
      <c r="R29" s="14"/>
      <c r="S29" s="14"/>
      <c r="T29" s="14"/>
      <c r="U29" s="14"/>
      <c r="V29" s="14"/>
      <c r="W29" s="14"/>
      <c r="X29" s="14"/>
      <c r="Y29" s="14"/>
      <c r="Z29" s="14"/>
      <c r="AA29" s="14"/>
      <c r="AB29" s="13"/>
      <c r="AC29" s="14"/>
    </row>
    <row r="30" customFormat="1" spans="1:29">
      <c r="A30" s="23"/>
      <c r="B30" s="10"/>
      <c r="C30" s="11"/>
      <c r="D30" s="14"/>
      <c r="E30" s="14"/>
      <c r="F30" s="14"/>
      <c r="G30" s="14"/>
      <c r="H30" s="14"/>
      <c r="I30" s="14"/>
      <c r="J30" s="14"/>
      <c r="K30" s="13"/>
      <c r="L30" s="14"/>
      <c r="M30" s="14"/>
      <c r="N30" s="14"/>
      <c r="O30" s="14"/>
      <c r="P30" s="14"/>
      <c r="Q30" s="14"/>
      <c r="R30" s="14"/>
      <c r="S30" s="14"/>
      <c r="T30" s="14"/>
      <c r="U30" s="14"/>
      <c r="V30" s="14"/>
      <c r="W30" s="14"/>
      <c r="X30" s="14"/>
      <c r="Y30" s="14"/>
      <c r="Z30" s="14"/>
      <c r="AA30" s="14"/>
      <c r="AB30" s="13"/>
      <c r="AC30" s="14"/>
    </row>
    <row r="31" customFormat="1" spans="1:29">
      <c r="A31" s="23"/>
      <c r="B31" s="10"/>
      <c r="C31" s="11"/>
      <c r="D31" s="14"/>
      <c r="E31" s="14"/>
      <c r="F31" s="14"/>
      <c r="G31" s="14"/>
      <c r="H31" s="14"/>
      <c r="I31" s="14"/>
      <c r="J31" s="14"/>
      <c r="K31" s="13"/>
      <c r="L31" s="14"/>
      <c r="M31" s="14"/>
      <c r="N31" s="14"/>
      <c r="O31" s="14"/>
      <c r="P31" s="14"/>
      <c r="Q31" s="14"/>
      <c r="R31" s="14"/>
      <c r="S31" s="14"/>
      <c r="T31" s="14"/>
      <c r="U31" s="14"/>
      <c r="V31" s="14"/>
      <c r="W31" s="14"/>
      <c r="X31" s="14"/>
      <c r="Y31" s="14"/>
      <c r="Z31" s="14"/>
      <c r="AA31" s="14"/>
      <c r="AB31" s="13"/>
      <c r="AC31" s="14"/>
    </row>
    <row r="32" customFormat="1" spans="1:29">
      <c r="A32" s="23"/>
      <c r="B32" s="10"/>
      <c r="C32" s="11"/>
      <c r="D32" s="14"/>
      <c r="E32" s="14"/>
      <c r="F32" s="14"/>
      <c r="G32" s="14"/>
      <c r="H32" s="14"/>
      <c r="I32" s="14"/>
      <c r="J32" s="14"/>
      <c r="K32" s="13"/>
      <c r="L32" s="14"/>
      <c r="M32" s="14"/>
      <c r="N32" s="14"/>
      <c r="O32" s="14"/>
      <c r="P32" s="14"/>
      <c r="Q32" s="14"/>
      <c r="R32" s="14"/>
      <c r="S32" s="14"/>
      <c r="T32" s="14"/>
      <c r="U32" s="14"/>
      <c r="V32" s="14"/>
      <c r="W32" s="14"/>
      <c r="X32" s="14"/>
      <c r="Y32" s="14"/>
      <c r="Z32" s="14"/>
      <c r="AA32" s="14"/>
      <c r="AB32" s="13"/>
      <c r="AC32" s="14"/>
    </row>
    <row r="33" customFormat="1" spans="1:29">
      <c r="A33" s="23"/>
      <c r="B33" s="10"/>
      <c r="C33" s="11"/>
      <c r="D33" s="14"/>
      <c r="E33" s="14"/>
      <c r="F33" s="14"/>
      <c r="G33" s="14"/>
      <c r="H33" s="14"/>
      <c r="I33" s="14"/>
      <c r="J33" s="14"/>
      <c r="K33" s="13"/>
      <c r="L33" s="14"/>
      <c r="M33" s="14"/>
      <c r="N33" s="14"/>
      <c r="O33" s="14"/>
      <c r="P33" s="14"/>
      <c r="Q33" s="14"/>
      <c r="R33" s="14"/>
      <c r="S33" s="14"/>
      <c r="T33" s="14"/>
      <c r="U33" s="14"/>
      <c r="V33" s="14"/>
      <c r="W33" s="14"/>
      <c r="X33" s="14"/>
      <c r="Y33" s="14"/>
      <c r="Z33" s="14"/>
      <c r="AA33" s="14"/>
      <c r="AB33" s="13"/>
      <c r="AC33" s="14"/>
    </row>
    <row r="34" customFormat="1" spans="1:29">
      <c r="A34" s="23"/>
      <c r="B34" s="10"/>
      <c r="C34" s="11"/>
      <c r="D34" s="14"/>
      <c r="E34" s="14"/>
      <c r="F34" s="14"/>
      <c r="G34" s="14"/>
      <c r="H34" s="14"/>
      <c r="I34" s="14"/>
      <c r="J34" s="14"/>
      <c r="K34" s="13"/>
      <c r="L34" s="14"/>
      <c r="M34" s="14"/>
      <c r="N34" s="14"/>
      <c r="O34" s="14"/>
      <c r="P34" s="14"/>
      <c r="Q34" s="14"/>
      <c r="R34" s="14"/>
      <c r="S34" s="14"/>
      <c r="T34" s="14"/>
      <c r="U34" s="14"/>
      <c r="V34" s="14"/>
      <c r="W34" s="14"/>
      <c r="X34" s="14"/>
      <c r="Y34" s="14"/>
      <c r="Z34" s="14"/>
      <c r="AA34" s="14"/>
      <c r="AB34" s="13"/>
      <c r="AC34" s="14"/>
    </row>
    <row r="35" customFormat="1" spans="1:29">
      <c r="A35" s="23"/>
      <c r="B35" s="10"/>
      <c r="C35" s="11"/>
      <c r="D35" s="14"/>
      <c r="E35" s="14"/>
      <c r="F35" s="14"/>
      <c r="G35" s="14"/>
      <c r="H35" s="14"/>
      <c r="I35" s="14"/>
      <c r="J35" s="14"/>
      <c r="K35" s="13"/>
      <c r="L35" s="14"/>
      <c r="M35" s="14"/>
      <c r="N35" s="14"/>
      <c r="O35" s="14"/>
      <c r="P35" s="14"/>
      <c r="Q35" s="14"/>
      <c r="R35" s="14"/>
      <c r="S35" s="14"/>
      <c r="T35" s="14"/>
      <c r="U35" s="14"/>
      <c r="V35" s="14"/>
      <c r="W35" s="14"/>
      <c r="X35" s="14"/>
      <c r="Y35" s="14"/>
      <c r="Z35" s="14"/>
      <c r="AA35" s="14"/>
      <c r="AB35" s="13"/>
      <c r="AC35" s="14"/>
    </row>
    <row r="36" customFormat="1" spans="1:29">
      <c r="A36" s="23"/>
      <c r="B36" s="10"/>
      <c r="C36" s="11"/>
      <c r="D36" s="14"/>
      <c r="E36" s="14"/>
      <c r="F36" s="14"/>
      <c r="G36" s="14"/>
      <c r="H36" s="14"/>
      <c r="I36" s="14"/>
      <c r="J36" s="14"/>
      <c r="K36" s="13"/>
      <c r="L36" s="14"/>
      <c r="M36" s="14"/>
      <c r="N36" s="14"/>
      <c r="O36" s="14"/>
      <c r="P36" s="14"/>
      <c r="Q36" s="14"/>
      <c r="R36" s="14"/>
      <c r="S36" s="14"/>
      <c r="T36" s="14"/>
      <c r="U36" s="14"/>
      <c r="V36" s="14"/>
      <c r="W36" s="14"/>
      <c r="X36" s="14"/>
      <c r="Y36" s="14"/>
      <c r="Z36" s="14"/>
      <c r="AA36" s="14"/>
      <c r="AB36" s="13"/>
      <c r="AC36" s="14"/>
    </row>
    <row r="37" customFormat="1" spans="1:29">
      <c r="A37" s="23"/>
      <c r="B37" s="10"/>
      <c r="C37" s="11"/>
      <c r="D37" s="14"/>
      <c r="E37" s="14"/>
      <c r="F37" s="14"/>
      <c r="G37" s="14"/>
      <c r="H37" s="14"/>
      <c r="I37" s="14"/>
      <c r="J37" s="14"/>
      <c r="K37" s="13"/>
      <c r="L37" s="14"/>
      <c r="M37" s="14"/>
      <c r="N37" s="14"/>
      <c r="O37" s="14"/>
      <c r="P37" s="14"/>
      <c r="Q37" s="14"/>
      <c r="R37" s="14"/>
      <c r="S37" s="14"/>
      <c r="T37" s="14"/>
      <c r="U37" s="14"/>
      <c r="V37" s="14"/>
      <c r="W37" s="14"/>
      <c r="X37" s="14"/>
      <c r="Y37" s="14"/>
      <c r="Z37" s="14"/>
      <c r="AA37" s="14"/>
      <c r="AB37" s="13"/>
      <c r="AC37" s="14"/>
    </row>
    <row r="38" customFormat="1" spans="1:29">
      <c r="A38" s="23"/>
      <c r="B38" s="10"/>
      <c r="C38" s="11"/>
      <c r="D38" s="14"/>
      <c r="E38" s="14"/>
      <c r="F38" s="14"/>
      <c r="G38" s="14"/>
      <c r="H38" s="14"/>
      <c r="I38" s="14"/>
      <c r="J38" s="14"/>
      <c r="K38" s="13"/>
      <c r="L38" s="14"/>
      <c r="M38" s="14"/>
      <c r="N38" s="14"/>
      <c r="O38" s="14"/>
      <c r="P38" s="14"/>
      <c r="Q38" s="14"/>
      <c r="R38" s="14"/>
      <c r="S38" s="14"/>
      <c r="T38" s="14"/>
      <c r="U38" s="14"/>
      <c r="V38" s="14"/>
      <c r="W38" s="14"/>
      <c r="X38" s="14"/>
      <c r="Y38" s="14"/>
      <c r="Z38" s="14"/>
      <c r="AA38" s="14"/>
      <c r="AB38" s="13"/>
      <c r="AC38" s="14"/>
    </row>
    <row r="39" customFormat="1" spans="1:29">
      <c r="A39" s="23"/>
      <c r="B39" s="10"/>
      <c r="C39" s="11"/>
      <c r="D39" s="14"/>
      <c r="E39" s="14"/>
      <c r="F39" s="14"/>
      <c r="G39" s="14"/>
      <c r="H39" s="14"/>
      <c r="I39" s="14"/>
      <c r="J39" s="14"/>
      <c r="K39" s="13"/>
      <c r="L39" s="14"/>
      <c r="M39" s="14"/>
      <c r="N39" s="14"/>
      <c r="O39" s="14"/>
      <c r="P39" s="14"/>
      <c r="Q39" s="14"/>
      <c r="R39" s="14"/>
      <c r="S39" s="14"/>
      <c r="T39" s="14"/>
      <c r="U39" s="14"/>
      <c r="V39" s="14"/>
      <c r="W39" s="14"/>
      <c r="X39" s="14"/>
      <c r="Y39" s="14"/>
      <c r="Z39" s="14"/>
      <c r="AA39" s="14"/>
      <c r="AB39" s="13"/>
      <c r="AC39" s="14"/>
    </row>
    <row r="40" customFormat="1" spans="1:29">
      <c r="A40" s="23"/>
      <c r="B40" s="10"/>
      <c r="C40" s="11"/>
      <c r="D40" s="14"/>
      <c r="E40" s="14"/>
      <c r="F40" s="14"/>
      <c r="G40" s="14"/>
      <c r="H40" s="14"/>
      <c r="I40" s="14"/>
      <c r="J40" s="14"/>
      <c r="K40" s="13"/>
      <c r="L40" s="14"/>
      <c r="M40" s="14"/>
      <c r="N40" s="14"/>
      <c r="O40" s="14"/>
      <c r="P40" s="14"/>
      <c r="Q40" s="14"/>
      <c r="R40" s="14"/>
      <c r="S40" s="14"/>
      <c r="T40" s="14"/>
      <c r="U40" s="14"/>
      <c r="V40" s="14"/>
      <c r="W40" s="14"/>
      <c r="X40" s="14"/>
      <c r="Y40" s="14"/>
      <c r="Z40" s="14"/>
      <c r="AA40" s="14"/>
      <c r="AB40" s="13"/>
      <c r="AC40" s="14"/>
    </row>
    <row r="41" customFormat="1" spans="1:29">
      <c r="A41" s="23"/>
      <c r="B41" s="10"/>
      <c r="C41" s="11"/>
      <c r="D41" s="14"/>
      <c r="E41" s="14"/>
      <c r="F41" s="14"/>
      <c r="G41" s="14"/>
      <c r="H41" s="14"/>
      <c r="I41" s="14"/>
      <c r="J41" s="14"/>
      <c r="K41" s="13"/>
      <c r="L41" s="14"/>
      <c r="M41" s="14"/>
      <c r="N41" s="14"/>
      <c r="O41" s="14"/>
      <c r="P41" s="14"/>
      <c r="Q41" s="14"/>
      <c r="R41" s="14"/>
      <c r="S41" s="14"/>
      <c r="T41" s="14"/>
      <c r="U41" s="14"/>
      <c r="V41" s="14"/>
      <c r="W41" s="14"/>
      <c r="X41" s="14"/>
      <c r="Y41" s="14"/>
      <c r="Z41" s="14"/>
      <c r="AA41" s="14"/>
      <c r="AB41" s="13"/>
      <c r="AC41" s="14"/>
    </row>
    <row r="42" customFormat="1" spans="1:29">
      <c r="A42" s="23"/>
      <c r="B42" s="10"/>
      <c r="C42" s="11"/>
      <c r="D42" s="14"/>
      <c r="E42" s="14"/>
      <c r="F42" s="14"/>
      <c r="G42" s="14"/>
      <c r="H42" s="14"/>
      <c r="I42" s="14"/>
      <c r="J42" s="14"/>
      <c r="K42" s="13"/>
      <c r="L42" s="14"/>
      <c r="M42" s="14"/>
      <c r="N42" s="14"/>
      <c r="O42" s="14"/>
      <c r="P42" s="14"/>
      <c r="Q42" s="14"/>
      <c r="R42" s="14"/>
      <c r="S42" s="14"/>
      <c r="T42" s="14"/>
      <c r="U42" s="14"/>
      <c r="V42" s="14"/>
      <c r="W42" s="14"/>
      <c r="X42" s="14"/>
      <c r="Y42" s="14"/>
      <c r="Z42" s="14"/>
      <c r="AA42" s="14"/>
      <c r="AB42" s="13"/>
      <c r="AC42" s="14"/>
    </row>
    <row r="43" customFormat="1" spans="1:29">
      <c r="A43" s="23"/>
      <c r="B43" s="10"/>
      <c r="C43" s="11"/>
      <c r="D43" s="14"/>
      <c r="E43" s="14"/>
      <c r="F43" s="14"/>
      <c r="G43" s="14"/>
      <c r="H43" s="14"/>
      <c r="I43" s="14"/>
      <c r="J43" s="14"/>
      <c r="K43" s="13"/>
      <c r="L43" s="14"/>
      <c r="M43" s="14"/>
      <c r="N43" s="14"/>
      <c r="O43" s="14"/>
      <c r="P43" s="14"/>
      <c r="Q43" s="14"/>
      <c r="R43" s="14"/>
      <c r="S43" s="14"/>
      <c r="T43" s="14"/>
      <c r="U43" s="14"/>
      <c r="V43" s="14"/>
      <c r="W43" s="14"/>
      <c r="X43" s="14"/>
      <c r="Y43" s="14"/>
      <c r="Z43" s="14"/>
      <c r="AA43" s="14"/>
      <c r="AB43" s="13"/>
      <c r="AC43" s="14"/>
    </row>
    <row r="44" customFormat="1" spans="1:29">
      <c r="A44" s="23"/>
      <c r="B44" s="10"/>
      <c r="C44" s="11"/>
      <c r="D44" s="14"/>
      <c r="E44" s="14"/>
      <c r="F44" s="14"/>
      <c r="G44" s="14"/>
      <c r="H44" s="14"/>
      <c r="I44" s="14"/>
      <c r="J44" s="14"/>
      <c r="K44" s="13"/>
      <c r="L44" s="14"/>
      <c r="M44" s="14"/>
      <c r="N44" s="14"/>
      <c r="O44" s="14"/>
      <c r="P44" s="14"/>
      <c r="Q44" s="14"/>
      <c r="R44" s="14"/>
      <c r="S44" s="14"/>
      <c r="T44" s="14"/>
      <c r="U44" s="14"/>
      <c r="V44" s="14"/>
      <c r="W44" s="14"/>
      <c r="X44" s="14"/>
      <c r="Y44" s="14"/>
      <c r="Z44" s="14"/>
      <c r="AA44" s="14"/>
      <c r="AB44" s="13"/>
      <c r="AC44" s="14"/>
    </row>
    <row r="45" customFormat="1" spans="1:29">
      <c r="A45" s="23"/>
      <c r="B45" s="10"/>
      <c r="C45" s="11"/>
      <c r="D45" s="14"/>
      <c r="E45" s="14"/>
      <c r="F45" s="14"/>
      <c r="G45" s="14"/>
      <c r="H45" s="14"/>
      <c r="I45" s="14"/>
      <c r="J45" s="14"/>
      <c r="K45" s="13"/>
      <c r="L45" s="14"/>
      <c r="M45" s="14"/>
      <c r="N45" s="14"/>
      <c r="O45" s="14"/>
      <c r="P45" s="14"/>
      <c r="Q45" s="14"/>
      <c r="R45" s="14"/>
      <c r="S45" s="14"/>
      <c r="T45" s="14"/>
      <c r="U45" s="14"/>
      <c r="V45" s="14"/>
      <c r="W45" s="14"/>
      <c r="X45" s="14"/>
      <c r="Y45" s="14"/>
      <c r="Z45" s="14"/>
      <c r="AA45" s="14"/>
      <c r="AB45" s="13"/>
      <c r="AC45" s="14"/>
    </row>
    <row r="46" customFormat="1" spans="1:29">
      <c r="A46" s="23"/>
      <c r="B46" s="10"/>
      <c r="C46" s="11"/>
      <c r="D46" s="14"/>
      <c r="E46" s="14"/>
      <c r="F46" s="14"/>
      <c r="G46" s="14"/>
      <c r="H46" s="14"/>
      <c r="I46" s="14"/>
      <c r="J46" s="14"/>
      <c r="K46" s="13"/>
      <c r="L46" s="14"/>
      <c r="M46" s="14"/>
      <c r="N46" s="14"/>
      <c r="O46" s="14"/>
      <c r="P46" s="14"/>
      <c r="Q46" s="14"/>
      <c r="R46" s="14"/>
      <c r="S46" s="14"/>
      <c r="T46" s="14"/>
      <c r="U46" s="14"/>
      <c r="V46" s="14"/>
      <c r="W46" s="14"/>
      <c r="X46" s="14"/>
      <c r="Y46" s="14"/>
      <c r="Z46" s="14"/>
      <c r="AA46" s="14"/>
      <c r="AB46" s="13"/>
      <c r="AC46" s="14"/>
    </row>
    <row r="47" customFormat="1" spans="1:29">
      <c r="A47" s="23"/>
      <c r="B47" s="10"/>
      <c r="C47" s="11"/>
      <c r="D47" s="14"/>
      <c r="E47" s="14"/>
      <c r="F47" s="14"/>
      <c r="G47" s="14"/>
      <c r="H47" s="14"/>
      <c r="I47" s="14"/>
      <c r="J47" s="14"/>
      <c r="K47" s="13"/>
      <c r="L47" s="14"/>
      <c r="M47" s="14"/>
      <c r="N47" s="14"/>
      <c r="O47" s="14"/>
      <c r="P47" s="14"/>
      <c r="Q47" s="14"/>
      <c r="R47" s="14"/>
      <c r="S47" s="14"/>
      <c r="T47" s="14"/>
      <c r="U47" s="14"/>
      <c r="V47" s="14"/>
      <c r="W47" s="14"/>
      <c r="X47" s="14"/>
      <c r="Y47" s="14"/>
      <c r="Z47" s="14"/>
      <c r="AA47" s="14"/>
      <c r="AB47" s="13"/>
      <c r="AC47" s="14"/>
    </row>
    <row r="48" customFormat="1" spans="1:29">
      <c r="A48" s="23"/>
      <c r="B48" s="10"/>
      <c r="C48" s="11"/>
      <c r="D48" s="14"/>
      <c r="E48" s="14"/>
      <c r="F48" s="14"/>
      <c r="G48" s="14"/>
      <c r="H48" s="14"/>
      <c r="I48" s="14"/>
      <c r="J48" s="14"/>
      <c r="K48" s="13"/>
      <c r="L48" s="14"/>
      <c r="M48" s="14"/>
      <c r="N48" s="14"/>
      <c r="O48" s="14"/>
      <c r="P48" s="14"/>
      <c r="Q48" s="14"/>
      <c r="R48" s="14"/>
      <c r="S48" s="14"/>
      <c r="T48" s="14"/>
      <c r="U48" s="14"/>
      <c r="V48" s="14"/>
      <c r="W48" s="14"/>
      <c r="X48" s="14"/>
      <c r="Y48" s="14"/>
      <c r="Z48" s="14"/>
      <c r="AA48" s="14"/>
      <c r="AB48" s="13"/>
      <c r="AC48" s="14"/>
    </row>
    <row r="49" customFormat="1" spans="1:29">
      <c r="A49" s="23"/>
      <c r="B49" s="10"/>
      <c r="C49" s="11"/>
      <c r="D49" s="14"/>
      <c r="E49" s="14"/>
      <c r="F49" s="14"/>
      <c r="G49" s="14"/>
      <c r="H49" s="14"/>
      <c r="I49" s="14"/>
      <c r="J49" s="14"/>
      <c r="K49" s="13"/>
      <c r="L49" s="14"/>
      <c r="M49" s="14"/>
      <c r="N49" s="14"/>
      <c r="O49" s="14"/>
      <c r="P49" s="14"/>
      <c r="Q49" s="14"/>
      <c r="R49" s="14"/>
      <c r="S49" s="14"/>
      <c r="T49" s="14"/>
      <c r="U49" s="14"/>
      <c r="V49" s="14"/>
      <c r="W49" s="14"/>
      <c r="X49" s="14"/>
      <c r="Y49" s="14"/>
      <c r="Z49" s="14"/>
      <c r="AA49" s="14"/>
      <c r="AB49" s="13"/>
      <c r="AC49" s="14"/>
    </row>
    <row r="50" customFormat="1" spans="1:29">
      <c r="A50" s="23"/>
      <c r="B50" s="10"/>
      <c r="C50" s="11"/>
      <c r="D50" s="14"/>
      <c r="E50" s="14"/>
      <c r="F50" s="14"/>
      <c r="G50" s="14"/>
      <c r="H50" s="14"/>
      <c r="I50" s="14"/>
      <c r="J50" s="14"/>
      <c r="K50" s="13"/>
      <c r="L50" s="14"/>
      <c r="M50" s="14"/>
      <c r="N50" s="14"/>
      <c r="O50" s="14"/>
      <c r="P50" s="14"/>
      <c r="Q50" s="14"/>
      <c r="R50" s="14"/>
      <c r="S50" s="14"/>
      <c r="T50" s="14"/>
      <c r="U50" s="14"/>
      <c r="V50" s="14"/>
      <c r="W50" s="14"/>
      <c r="X50" s="14"/>
      <c r="Y50" s="14"/>
      <c r="Z50" s="14"/>
      <c r="AA50" s="14"/>
      <c r="AB50" s="13"/>
      <c r="AC50" s="14"/>
    </row>
    <row r="51" customFormat="1" spans="1:29">
      <c r="A51" s="23"/>
      <c r="B51" s="10"/>
      <c r="C51" s="11"/>
      <c r="D51" s="14"/>
      <c r="E51" s="14"/>
      <c r="F51" s="14"/>
      <c r="G51" s="14"/>
      <c r="H51" s="14"/>
      <c r="I51" s="14"/>
      <c r="J51" s="14"/>
      <c r="K51" s="13"/>
      <c r="L51" s="14"/>
      <c r="M51" s="14"/>
      <c r="N51" s="14"/>
      <c r="O51" s="14"/>
      <c r="P51" s="14"/>
      <c r="Q51" s="14"/>
      <c r="R51" s="14"/>
      <c r="S51" s="14"/>
      <c r="T51" s="14"/>
      <c r="U51" s="14"/>
      <c r="V51" s="14"/>
      <c r="W51" s="14"/>
      <c r="X51" s="14"/>
      <c r="Y51" s="14"/>
      <c r="Z51" s="14"/>
      <c r="AA51" s="14"/>
      <c r="AB51" s="13"/>
      <c r="AC51" s="14"/>
    </row>
    <row r="52" customFormat="1" spans="1:29">
      <c r="A52" s="23"/>
      <c r="B52" s="10"/>
      <c r="C52" s="11"/>
      <c r="D52" s="14"/>
      <c r="E52" s="14"/>
      <c r="F52" s="14"/>
      <c r="G52" s="14"/>
      <c r="H52" s="14"/>
      <c r="I52" s="14"/>
      <c r="J52" s="14"/>
      <c r="K52" s="13"/>
      <c r="L52" s="14"/>
      <c r="M52" s="14"/>
      <c r="N52" s="14"/>
      <c r="O52" s="14"/>
      <c r="P52" s="14"/>
      <c r="Q52" s="14"/>
      <c r="R52" s="14"/>
      <c r="S52" s="14"/>
      <c r="T52" s="14"/>
      <c r="U52" s="14"/>
      <c r="V52" s="14"/>
      <c r="W52" s="14"/>
      <c r="X52" s="14"/>
      <c r="Y52" s="14"/>
      <c r="Z52" s="14"/>
      <c r="AA52" s="14"/>
      <c r="AB52" s="13"/>
      <c r="AC52" s="14"/>
    </row>
    <row r="53" customFormat="1" spans="1:29">
      <c r="A53" s="23"/>
      <c r="B53" s="10"/>
      <c r="C53" s="11"/>
      <c r="D53" s="14"/>
      <c r="E53" s="14"/>
      <c r="F53" s="14"/>
      <c r="G53" s="14"/>
      <c r="H53" s="14"/>
      <c r="I53" s="14"/>
      <c r="J53" s="14"/>
      <c r="K53" s="13"/>
      <c r="L53" s="14"/>
      <c r="M53" s="14"/>
      <c r="N53" s="14"/>
      <c r="O53" s="14"/>
      <c r="P53" s="14"/>
      <c r="Q53" s="14"/>
      <c r="R53" s="14"/>
      <c r="S53" s="14"/>
      <c r="T53" s="14"/>
      <c r="U53" s="14"/>
      <c r="V53" s="14"/>
      <c r="W53" s="14"/>
      <c r="X53" s="14"/>
      <c r="Y53" s="14"/>
      <c r="Z53" s="14"/>
      <c r="AA53" s="14"/>
      <c r="AB53" s="13"/>
      <c r="AC53" s="14"/>
    </row>
    <row r="54" customFormat="1" spans="1:29">
      <c r="A54" s="23"/>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row>
    <row r="55" customFormat="1" spans="1:29">
      <c r="A55" s="23"/>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row>
    <row r="56" customFormat="1" spans="1:29">
      <c r="A56" s="23"/>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row>
    <row r="57" customFormat="1" spans="1:29">
      <c r="A57" s="23"/>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row>
    <row r="58" customFormat="1" spans="1:29">
      <c r="A58" s="23"/>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row>
    <row r="59" customFormat="1" spans="1:29">
      <c r="A59" s="23"/>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customFormat="1" spans="1:29">
      <c r="A60" s="23"/>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customFormat="1" spans="1:29">
      <c r="A61" s="23"/>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customFormat="1" spans="1:29">
      <c r="A62" s="23"/>
      <c r="B62" s="26"/>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sheetData>
  <mergeCells count="5">
    <mergeCell ref="A1:AB1"/>
    <mergeCell ref="A3:A5"/>
    <mergeCell ref="A6:A12"/>
    <mergeCell ref="A13:A15"/>
    <mergeCell ref="A17:A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60" zoomScaleNormal="60" topLeftCell="C50" workbookViewId="0">
      <selection activeCell="AC53" sqref="AC53:AC58"/>
    </sheetView>
  </sheetViews>
  <sheetFormatPr defaultColWidth="9.64601769911504" defaultRowHeight="13.5"/>
  <cols>
    <col min="1" max="1" width="4.52212389380531" style="23" customWidth="1"/>
    <col min="2" max="2" width="99.2743362831858" style="26" customWidth="1"/>
    <col min="3" max="3" width="43.4601769911504" customWidth="1"/>
    <col min="4" max="9" width="6.52212389380531" customWidth="1"/>
    <col min="10" max="10" width="10.5663716814159" customWidth="1"/>
    <col min="11" max="11" width="9" style="27"/>
    <col min="27" max="27" width="12.9380530973451" customWidth="1"/>
    <col min="28" max="28" width="9" style="27"/>
    <col min="29" max="29" width="19.4424778761062" customWidth="1"/>
  </cols>
  <sheetData>
    <row r="1" s="1" customFormat="1" spans="1:29">
      <c r="A1" s="2" t="s">
        <v>140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204" customHeight="1" spans="1:29">
      <c r="A3" s="9" t="s">
        <v>142</v>
      </c>
      <c r="B3" s="10" t="s">
        <v>193</v>
      </c>
      <c r="C3" s="11" t="s">
        <v>194</v>
      </c>
      <c r="D3" s="12">
        <v>5</v>
      </c>
      <c r="E3" s="12">
        <v>5</v>
      </c>
      <c r="F3" s="12">
        <v>5</v>
      </c>
      <c r="G3" s="12">
        <v>5</v>
      </c>
      <c r="H3" s="12">
        <v>5</v>
      </c>
      <c r="I3" s="12">
        <v>5</v>
      </c>
      <c r="J3" s="12">
        <v>5</v>
      </c>
      <c r="K3" s="13">
        <f t="shared" ref="K3:K2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22" si="1">SUM(L3:AA3)</f>
        <v>62</v>
      </c>
      <c r="AC3" s="29" t="s">
        <v>39</v>
      </c>
    </row>
    <row r="4" ht="135" spans="1:29">
      <c r="A4" s="15"/>
      <c r="B4" s="10" t="s">
        <v>195</v>
      </c>
      <c r="C4" s="11" t="s">
        <v>196</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29" t="s">
        <v>39</v>
      </c>
    </row>
    <row r="5" ht="189" spans="1:29">
      <c r="A5" s="15"/>
      <c r="B5" s="10" t="s">
        <v>197</v>
      </c>
      <c r="C5" s="11" t="s">
        <v>198</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29" t="s">
        <v>39</v>
      </c>
    </row>
    <row r="6" ht="94" customHeight="1" spans="1:29">
      <c r="A6" s="15"/>
      <c r="B6" s="10" t="s">
        <v>199</v>
      </c>
      <c r="C6" s="11" t="s">
        <v>200</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29" t="s">
        <v>39</v>
      </c>
    </row>
    <row r="7" ht="135" spans="1:29">
      <c r="A7" s="15"/>
      <c r="B7" s="10" t="s">
        <v>201</v>
      </c>
      <c r="C7" s="11" t="s">
        <v>202</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28" t="s">
        <v>30</v>
      </c>
    </row>
    <row r="8" ht="96" customHeight="1" spans="1:29">
      <c r="A8" s="15"/>
      <c r="B8" s="10" t="s">
        <v>203</v>
      </c>
      <c r="C8" s="11" t="s">
        <v>204</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28" t="s">
        <v>30</v>
      </c>
    </row>
    <row r="9" ht="135" spans="1:29">
      <c r="A9" s="15"/>
      <c r="B9" s="10" t="s">
        <v>205</v>
      </c>
      <c r="C9" s="11" t="s">
        <v>206</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28" t="s">
        <v>30</v>
      </c>
    </row>
    <row r="10" ht="189" spans="1:29">
      <c r="A10" s="15" t="s">
        <v>44</v>
      </c>
      <c r="B10" s="10" t="s">
        <v>207</v>
      </c>
      <c r="C10" s="11" t="s">
        <v>208</v>
      </c>
      <c r="D10" s="12">
        <v>5</v>
      </c>
      <c r="E10" s="12">
        <v>5</v>
      </c>
      <c r="F10" s="12">
        <v>5</v>
      </c>
      <c r="G10" s="12">
        <v>5</v>
      </c>
      <c r="H10" s="12">
        <v>5</v>
      </c>
      <c r="I10" s="12">
        <v>5</v>
      </c>
      <c r="J10" s="12">
        <v>5</v>
      </c>
      <c r="K10" s="13">
        <f t="shared" si="0"/>
        <v>35</v>
      </c>
      <c r="L10" s="12">
        <v>5</v>
      </c>
      <c r="M10" s="12">
        <v>5</v>
      </c>
      <c r="N10" s="12">
        <v>3</v>
      </c>
      <c r="O10" s="12">
        <v>5</v>
      </c>
      <c r="P10" s="12">
        <v>2</v>
      </c>
      <c r="Q10" s="12">
        <v>4</v>
      </c>
      <c r="R10" s="12">
        <v>4</v>
      </c>
      <c r="S10" s="12">
        <v>5</v>
      </c>
      <c r="T10" s="12">
        <v>5</v>
      </c>
      <c r="U10" s="12">
        <v>5</v>
      </c>
      <c r="V10" s="12">
        <v>5</v>
      </c>
      <c r="W10" s="12">
        <v>4</v>
      </c>
      <c r="X10" s="12">
        <v>3</v>
      </c>
      <c r="Y10" s="12">
        <v>4</v>
      </c>
      <c r="Z10" s="12">
        <v>3</v>
      </c>
      <c r="AA10" s="12">
        <v>4</v>
      </c>
      <c r="AB10" s="13">
        <f t="shared" si="1"/>
        <v>66</v>
      </c>
      <c r="AC10" s="29" t="s">
        <v>39</v>
      </c>
    </row>
    <row r="11" ht="216" spans="1:29">
      <c r="A11" s="15"/>
      <c r="B11" s="10" t="s">
        <v>209</v>
      </c>
      <c r="C11" s="11" t="s">
        <v>210</v>
      </c>
      <c r="D11" s="12">
        <v>5</v>
      </c>
      <c r="E11" s="12">
        <v>5</v>
      </c>
      <c r="F11" s="12">
        <v>5</v>
      </c>
      <c r="G11" s="12">
        <v>5</v>
      </c>
      <c r="H11" s="12">
        <v>5</v>
      </c>
      <c r="I11" s="12">
        <v>5</v>
      </c>
      <c r="J11" s="12">
        <v>5</v>
      </c>
      <c r="K11" s="13">
        <f t="shared" si="0"/>
        <v>35</v>
      </c>
      <c r="L11" s="12">
        <v>5</v>
      </c>
      <c r="M11" s="12">
        <v>5</v>
      </c>
      <c r="N11" s="12">
        <v>3</v>
      </c>
      <c r="O11" s="12">
        <v>5</v>
      </c>
      <c r="P11" s="12">
        <v>3</v>
      </c>
      <c r="Q11" s="12">
        <v>4</v>
      </c>
      <c r="R11" s="12">
        <v>5</v>
      </c>
      <c r="S11" s="12">
        <v>5</v>
      </c>
      <c r="T11" s="12">
        <v>5</v>
      </c>
      <c r="U11" s="12">
        <v>5</v>
      </c>
      <c r="V11" s="12">
        <v>5</v>
      </c>
      <c r="W11" s="12">
        <v>5</v>
      </c>
      <c r="X11" s="12">
        <v>3</v>
      </c>
      <c r="Y11" s="12">
        <v>4</v>
      </c>
      <c r="Z11" s="12">
        <v>3</v>
      </c>
      <c r="AA11" s="12">
        <v>4</v>
      </c>
      <c r="AB11" s="13">
        <f t="shared" si="1"/>
        <v>69</v>
      </c>
      <c r="AC11" s="29" t="s">
        <v>39</v>
      </c>
    </row>
    <row r="12" ht="175.5" spans="1:29">
      <c r="A12" s="15"/>
      <c r="B12" s="10" t="s">
        <v>211</v>
      </c>
      <c r="C12" s="11" t="s">
        <v>212</v>
      </c>
      <c r="D12" s="12">
        <v>5</v>
      </c>
      <c r="E12" s="12">
        <v>5</v>
      </c>
      <c r="F12" s="12">
        <v>5</v>
      </c>
      <c r="G12" s="12">
        <v>5</v>
      </c>
      <c r="H12" s="12">
        <v>5</v>
      </c>
      <c r="I12" s="12">
        <v>5</v>
      </c>
      <c r="J12" s="12">
        <v>5</v>
      </c>
      <c r="K12" s="13">
        <f t="shared" si="0"/>
        <v>35</v>
      </c>
      <c r="L12" s="12">
        <v>5</v>
      </c>
      <c r="M12" s="12">
        <v>5</v>
      </c>
      <c r="N12" s="12">
        <v>3</v>
      </c>
      <c r="O12" s="12">
        <v>5</v>
      </c>
      <c r="P12" s="12">
        <v>4</v>
      </c>
      <c r="Q12" s="12">
        <v>3</v>
      </c>
      <c r="R12" s="12">
        <v>5</v>
      </c>
      <c r="S12" s="12">
        <v>5</v>
      </c>
      <c r="T12" s="12">
        <v>5</v>
      </c>
      <c r="U12" s="12">
        <v>5</v>
      </c>
      <c r="V12" s="12">
        <v>5</v>
      </c>
      <c r="W12" s="12">
        <v>5</v>
      </c>
      <c r="X12" s="12">
        <v>3</v>
      </c>
      <c r="Y12" s="12">
        <v>4</v>
      </c>
      <c r="Z12" s="12">
        <v>3</v>
      </c>
      <c r="AA12" s="12">
        <v>4</v>
      </c>
      <c r="AB12" s="13">
        <f t="shared" si="1"/>
        <v>69</v>
      </c>
      <c r="AC12" s="28" t="s">
        <v>30</v>
      </c>
    </row>
    <row r="13" ht="202.5" spans="1:29">
      <c r="A13" s="15"/>
      <c r="B13" s="10" t="s">
        <v>213</v>
      </c>
      <c r="C13" s="11" t="s">
        <v>214</v>
      </c>
      <c r="D13" s="12">
        <v>5</v>
      </c>
      <c r="E13" s="12">
        <v>5</v>
      </c>
      <c r="F13" s="12">
        <v>5</v>
      </c>
      <c r="G13" s="12">
        <v>5</v>
      </c>
      <c r="H13" s="12">
        <v>5</v>
      </c>
      <c r="I13" s="12">
        <v>5</v>
      </c>
      <c r="J13" s="12">
        <v>5</v>
      </c>
      <c r="K13" s="13">
        <f t="shared" si="0"/>
        <v>35</v>
      </c>
      <c r="L13" s="12">
        <v>5</v>
      </c>
      <c r="M13" s="12">
        <v>5</v>
      </c>
      <c r="N13" s="12">
        <v>3</v>
      </c>
      <c r="O13" s="12">
        <v>5</v>
      </c>
      <c r="P13" s="12">
        <v>3</v>
      </c>
      <c r="Q13" s="12">
        <v>4</v>
      </c>
      <c r="R13" s="12">
        <v>5</v>
      </c>
      <c r="S13" s="12">
        <v>5</v>
      </c>
      <c r="T13" s="12">
        <v>5</v>
      </c>
      <c r="U13" s="12">
        <v>5</v>
      </c>
      <c r="V13" s="12">
        <v>5</v>
      </c>
      <c r="W13" s="12">
        <v>5</v>
      </c>
      <c r="X13" s="12">
        <v>3</v>
      </c>
      <c r="Y13" s="12">
        <v>4</v>
      </c>
      <c r="Z13" s="12">
        <v>3</v>
      </c>
      <c r="AA13" s="12">
        <v>4</v>
      </c>
      <c r="AB13" s="13">
        <f t="shared" si="1"/>
        <v>69</v>
      </c>
      <c r="AC13" s="28" t="s">
        <v>30</v>
      </c>
    </row>
    <row r="14" ht="162" spans="1:29">
      <c r="A14" s="15"/>
      <c r="B14" s="10" t="s">
        <v>215</v>
      </c>
      <c r="C14" s="11" t="s">
        <v>216</v>
      </c>
      <c r="D14" s="12">
        <v>5</v>
      </c>
      <c r="E14" s="12">
        <v>5</v>
      </c>
      <c r="F14" s="12">
        <v>5</v>
      </c>
      <c r="G14" s="12">
        <v>5</v>
      </c>
      <c r="H14" s="12">
        <v>5</v>
      </c>
      <c r="I14" s="12">
        <v>5</v>
      </c>
      <c r="J14" s="12">
        <v>5</v>
      </c>
      <c r="K14" s="13">
        <f t="shared" si="0"/>
        <v>35</v>
      </c>
      <c r="L14" s="12">
        <v>5</v>
      </c>
      <c r="M14" s="12">
        <v>5</v>
      </c>
      <c r="N14" s="12">
        <v>3</v>
      </c>
      <c r="O14" s="12">
        <v>5</v>
      </c>
      <c r="P14" s="12">
        <v>4</v>
      </c>
      <c r="Q14" s="12">
        <v>4</v>
      </c>
      <c r="R14" s="12">
        <v>5</v>
      </c>
      <c r="S14" s="12">
        <v>5</v>
      </c>
      <c r="T14" s="12">
        <v>5</v>
      </c>
      <c r="U14" s="12">
        <v>5</v>
      </c>
      <c r="V14" s="12">
        <v>5</v>
      </c>
      <c r="W14" s="12">
        <v>5</v>
      </c>
      <c r="X14" s="12">
        <v>3</v>
      </c>
      <c r="Y14" s="12">
        <v>4</v>
      </c>
      <c r="Z14" s="12">
        <v>3</v>
      </c>
      <c r="AA14" s="12">
        <v>4</v>
      </c>
      <c r="AB14" s="13">
        <f t="shared" si="1"/>
        <v>70</v>
      </c>
      <c r="AC14" s="28" t="s">
        <v>30</v>
      </c>
    </row>
    <row r="15" ht="216" spans="1:29">
      <c r="A15" s="15"/>
      <c r="B15" s="10" t="s">
        <v>217</v>
      </c>
      <c r="C15" s="11" t="s">
        <v>218</v>
      </c>
      <c r="D15" s="12">
        <v>5</v>
      </c>
      <c r="E15" s="12">
        <v>5</v>
      </c>
      <c r="F15" s="12">
        <v>3</v>
      </c>
      <c r="G15" s="12">
        <v>5</v>
      </c>
      <c r="H15" s="12">
        <v>5</v>
      </c>
      <c r="I15" s="12">
        <v>5</v>
      </c>
      <c r="J15" s="12">
        <v>5</v>
      </c>
      <c r="K15" s="13">
        <f t="shared" si="0"/>
        <v>33</v>
      </c>
      <c r="L15" s="12">
        <v>5</v>
      </c>
      <c r="M15" s="12">
        <v>5</v>
      </c>
      <c r="N15" s="12">
        <v>2</v>
      </c>
      <c r="O15" s="12">
        <v>5</v>
      </c>
      <c r="P15" s="12">
        <v>5</v>
      </c>
      <c r="Q15" s="12">
        <v>5</v>
      </c>
      <c r="R15" s="12">
        <v>4</v>
      </c>
      <c r="S15" s="12">
        <v>5</v>
      </c>
      <c r="T15" s="12">
        <v>5</v>
      </c>
      <c r="U15" s="12">
        <v>5</v>
      </c>
      <c r="V15" s="12">
        <v>4</v>
      </c>
      <c r="W15" s="12">
        <v>4</v>
      </c>
      <c r="X15" s="12">
        <v>4</v>
      </c>
      <c r="Y15" s="12">
        <v>4</v>
      </c>
      <c r="Z15" s="12">
        <v>3</v>
      </c>
      <c r="AA15" s="12">
        <v>4</v>
      </c>
      <c r="AB15" s="13">
        <f t="shared" si="1"/>
        <v>69</v>
      </c>
      <c r="AC15" s="28" t="s">
        <v>30</v>
      </c>
    </row>
    <row r="16" ht="189" spans="1:29">
      <c r="A16" s="15"/>
      <c r="B16" s="10" t="s">
        <v>219</v>
      </c>
      <c r="C16" s="11" t="s">
        <v>220</v>
      </c>
      <c r="D16" s="12">
        <v>5</v>
      </c>
      <c r="E16" s="12">
        <v>5</v>
      </c>
      <c r="F16" s="12">
        <v>5</v>
      </c>
      <c r="G16" s="12">
        <v>5</v>
      </c>
      <c r="H16" s="12">
        <v>5</v>
      </c>
      <c r="I16" s="12">
        <v>5</v>
      </c>
      <c r="J16" s="12">
        <v>5</v>
      </c>
      <c r="K16" s="13">
        <f t="shared" si="0"/>
        <v>35</v>
      </c>
      <c r="L16" s="12">
        <v>5</v>
      </c>
      <c r="M16" s="12">
        <v>5</v>
      </c>
      <c r="N16" s="12">
        <v>3</v>
      </c>
      <c r="O16" s="12">
        <v>5</v>
      </c>
      <c r="P16" s="12">
        <v>4</v>
      </c>
      <c r="Q16" s="12">
        <v>4</v>
      </c>
      <c r="R16" s="12">
        <v>4</v>
      </c>
      <c r="S16" s="12">
        <v>5</v>
      </c>
      <c r="T16" s="12">
        <v>5</v>
      </c>
      <c r="U16" s="12">
        <v>5</v>
      </c>
      <c r="V16" s="12">
        <v>5</v>
      </c>
      <c r="W16" s="12">
        <v>4</v>
      </c>
      <c r="X16" s="12">
        <v>4</v>
      </c>
      <c r="Y16" s="12">
        <v>4</v>
      </c>
      <c r="Z16" s="12">
        <v>3</v>
      </c>
      <c r="AA16" s="12">
        <v>4</v>
      </c>
      <c r="AB16" s="13">
        <f t="shared" si="1"/>
        <v>69</v>
      </c>
      <c r="AC16" s="28" t="s">
        <v>30</v>
      </c>
    </row>
    <row r="17" ht="148.5" spans="1:29">
      <c r="A17" s="15"/>
      <c r="B17" s="10" t="s">
        <v>221</v>
      </c>
      <c r="C17" s="11" t="s">
        <v>222</v>
      </c>
      <c r="D17" s="12">
        <v>5</v>
      </c>
      <c r="E17" s="12">
        <v>5</v>
      </c>
      <c r="F17" s="12">
        <v>4</v>
      </c>
      <c r="G17" s="12">
        <v>5</v>
      </c>
      <c r="H17" s="12">
        <v>5</v>
      </c>
      <c r="I17" s="12">
        <v>5</v>
      </c>
      <c r="J17" s="12">
        <v>5</v>
      </c>
      <c r="K17" s="13">
        <f t="shared" si="0"/>
        <v>34</v>
      </c>
      <c r="L17" s="12">
        <v>5</v>
      </c>
      <c r="M17" s="12">
        <v>5</v>
      </c>
      <c r="N17" s="12">
        <v>3</v>
      </c>
      <c r="O17" s="12">
        <v>5</v>
      </c>
      <c r="P17" s="12">
        <v>3</v>
      </c>
      <c r="Q17" s="12">
        <v>4</v>
      </c>
      <c r="R17" s="12">
        <v>4</v>
      </c>
      <c r="S17" s="12">
        <v>5</v>
      </c>
      <c r="T17" s="12">
        <v>5</v>
      </c>
      <c r="U17" s="12">
        <v>5</v>
      </c>
      <c r="V17" s="12">
        <v>5</v>
      </c>
      <c r="W17" s="12">
        <v>5</v>
      </c>
      <c r="X17" s="12">
        <v>3</v>
      </c>
      <c r="Y17" s="12">
        <v>4</v>
      </c>
      <c r="Z17" s="12">
        <v>3</v>
      </c>
      <c r="AA17" s="12">
        <v>4</v>
      </c>
      <c r="AB17" s="13">
        <f t="shared" si="1"/>
        <v>68</v>
      </c>
      <c r="AC17" s="28" t="s">
        <v>30</v>
      </c>
    </row>
    <row r="18" ht="202.5" spans="1:29">
      <c r="A18" s="15"/>
      <c r="B18" s="10" t="s">
        <v>223</v>
      </c>
      <c r="C18" s="11" t="s">
        <v>224</v>
      </c>
      <c r="D18" s="12">
        <v>5</v>
      </c>
      <c r="E18" s="12">
        <v>5</v>
      </c>
      <c r="F18" s="12">
        <v>5</v>
      </c>
      <c r="G18" s="12">
        <v>5</v>
      </c>
      <c r="H18" s="12">
        <v>5</v>
      </c>
      <c r="I18" s="12">
        <v>5</v>
      </c>
      <c r="J18" s="12">
        <v>5</v>
      </c>
      <c r="K18" s="13">
        <f t="shared" si="0"/>
        <v>35</v>
      </c>
      <c r="L18" s="12">
        <v>5</v>
      </c>
      <c r="M18" s="12">
        <v>5</v>
      </c>
      <c r="N18" s="12">
        <v>2</v>
      </c>
      <c r="O18" s="12">
        <v>5</v>
      </c>
      <c r="P18" s="12">
        <v>3</v>
      </c>
      <c r="Q18" s="12">
        <v>4</v>
      </c>
      <c r="R18" s="12">
        <v>5</v>
      </c>
      <c r="S18" s="12">
        <v>5</v>
      </c>
      <c r="T18" s="12">
        <v>5</v>
      </c>
      <c r="U18" s="12">
        <v>5</v>
      </c>
      <c r="V18" s="12">
        <v>5</v>
      </c>
      <c r="W18" s="12">
        <v>5</v>
      </c>
      <c r="X18" s="12">
        <v>3</v>
      </c>
      <c r="Y18" s="12">
        <v>4</v>
      </c>
      <c r="Z18" s="12">
        <v>3</v>
      </c>
      <c r="AA18" s="12">
        <v>4</v>
      </c>
      <c r="AB18" s="13">
        <f t="shared" si="1"/>
        <v>68</v>
      </c>
      <c r="AC18" s="28" t="s">
        <v>30</v>
      </c>
    </row>
    <row r="19" ht="256.5" spans="1:29">
      <c r="A19" s="15"/>
      <c r="B19" s="10" t="s">
        <v>225</v>
      </c>
      <c r="C19" s="11" t="s">
        <v>226</v>
      </c>
      <c r="D19" s="12">
        <v>5</v>
      </c>
      <c r="E19" s="12">
        <v>5</v>
      </c>
      <c r="F19" s="12">
        <v>4</v>
      </c>
      <c r="G19" s="12">
        <v>5</v>
      </c>
      <c r="H19" s="12">
        <v>5</v>
      </c>
      <c r="I19" s="12">
        <v>5</v>
      </c>
      <c r="J19" s="12">
        <v>5</v>
      </c>
      <c r="K19" s="13">
        <f t="shared" si="0"/>
        <v>34</v>
      </c>
      <c r="L19" s="12">
        <v>5</v>
      </c>
      <c r="M19" s="12">
        <v>5</v>
      </c>
      <c r="N19" s="12">
        <v>3</v>
      </c>
      <c r="O19" s="12">
        <v>5</v>
      </c>
      <c r="P19" s="12">
        <v>4</v>
      </c>
      <c r="Q19" s="12">
        <v>4</v>
      </c>
      <c r="R19" s="12">
        <v>4</v>
      </c>
      <c r="S19" s="12">
        <v>5</v>
      </c>
      <c r="T19" s="12">
        <v>5</v>
      </c>
      <c r="U19" s="12">
        <v>5</v>
      </c>
      <c r="V19" s="12">
        <v>5</v>
      </c>
      <c r="W19" s="12">
        <v>4</v>
      </c>
      <c r="X19" s="12">
        <v>3</v>
      </c>
      <c r="Y19" s="12">
        <v>4</v>
      </c>
      <c r="Z19" s="12">
        <v>3</v>
      </c>
      <c r="AA19" s="12">
        <v>4</v>
      </c>
      <c r="AB19" s="13">
        <f t="shared" si="1"/>
        <v>68</v>
      </c>
      <c r="AC19" s="28" t="s">
        <v>30</v>
      </c>
    </row>
    <row r="20" ht="148.5" spans="1:29">
      <c r="A20" s="15"/>
      <c r="B20" s="10" t="s">
        <v>227</v>
      </c>
      <c r="C20" s="11" t="s">
        <v>228</v>
      </c>
      <c r="D20" s="12">
        <v>5</v>
      </c>
      <c r="E20" s="12">
        <v>5</v>
      </c>
      <c r="F20" s="12">
        <v>4</v>
      </c>
      <c r="G20" s="12">
        <v>5</v>
      </c>
      <c r="H20" s="12">
        <v>5</v>
      </c>
      <c r="I20" s="12">
        <v>5</v>
      </c>
      <c r="J20" s="12">
        <v>5</v>
      </c>
      <c r="K20" s="13">
        <f t="shared" si="0"/>
        <v>34</v>
      </c>
      <c r="L20" s="12">
        <v>5</v>
      </c>
      <c r="M20" s="12">
        <v>4</v>
      </c>
      <c r="N20" s="12">
        <v>3</v>
      </c>
      <c r="O20" s="12">
        <v>4</v>
      </c>
      <c r="P20" s="12">
        <v>1</v>
      </c>
      <c r="Q20" s="12">
        <v>4</v>
      </c>
      <c r="R20" s="12">
        <v>4</v>
      </c>
      <c r="S20" s="12">
        <v>5</v>
      </c>
      <c r="T20" s="12">
        <v>5</v>
      </c>
      <c r="U20" s="12">
        <v>5</v>
      </c>
      <c r="V20" s="12">
        <v>5</v>
      </c>
      <c r="W20" s="12">
        <v>4</v>
      </c>
      <c r="X20" s="12">
        <v>2</v>
      </c>
      <c r="Y20" s="12">
        <v>4</v>
      </c>
      <c r="Z20" s="12">
        <v>3</v>
      </c>
      <c r="AA20" s="12">
        <v>4</v>
      </c>
      <c r="AB20" s="13">
        <f t="shared" si="1"/>
        <v>62</v>
      </c>
      <c r="AC20" s="28" t="s">
        <v>30</v>
      </c>
    </row>
    <row r="21" ht="162" spans="1:29">
      <c r="A21" s="15"/>
      <c r="B21" s="10" t="s">
        <v>229</v>
      </c>
      <c r="C21" s="11" t="s">
        <v>230</v>
      </c>
      <c r="D21" s="12">
        <v>5</v>
      </c>
      <c r="E21" s="12">
        <v>5</v>
      </c>
      <c r="F21" s="12">
        <v>4</v>
      </c>
      <c r="G21" s="12">
        <v>5</v>
      </c>
      <c r="H21" s="12">
        <v>5</v>
      </c>
      <c r="I21" s="12">
        <v>5</v>
      </c>
      <c r="J21" s="12">
        <v>5</v>
      </c>
      <c r="K21" s="13">
        <f t="shared" si="0"/>
        <v>34</v>
      </c>
      <c r="L21" s="12">
        <v>5</v>
      </c>
      <c r="M21" s="12">
        <v>4</v>
      </c>
      <c r="N21" s="12">
        <v>3</v>
      </c>
      <c r="O21" s="12">
        <v>4</v>
      </c>
      <c r="P21" s="12">
        <v>2</v>
      </c>
      <c r="Q21" s="12">
        <v>4</v>
      </c>
      <c r="R21" s="12">
        <v>4</v>
      </c>
      <c r="S21" s="12">
        <v>5</v>
      </c>
      <c r="T21" s="12">
        <v>5</v>
      </c>
      <c r="U21" s="12">
        <v>5</v>
      </c>
      <c r="V21" s="12">
        <v>5</v>
      </c>
      <c r="W21" s="12">
        <v>4</v>
      </c>
      <c r="X21" s="12">
        <v>2</v>
      </c>
      <c r="Y21" s="12">
        <v>4</v>
      </c>
      <c r="Z21" s="12">
        <v>3</v>
      </c>
      <c r="AA21" s="12">
        <v>4</v>
      </c>
      <c r="AB21" s="13">
        <f t="shared" si="1"/>
        <v>63</v>
      </c>
      <c r="AC21" s="28" t="s">
        <v>30</v>
      </c>
    </row>
    <row r="22" ht="208" customHeight="1" spans="1:29">
      <c r="A22" s="15"/>
      <c r="B22" s="10" t="s">
        <v>231</v>
      </c>
      <c r="C22" s="11" t="s">
        <v>232</v>
      </c>
      <c r="D22" s="12">
        <v>5</v>
      </c>
      <c r="E22" s="12">
        <v>5</v>
      </c>
      <c r="F22" s="12">
        <v>5</v>
      </c>
      <c r="G22" s="12">
        <v>5</v>
      </c>
      <c r="H22" s="12">
        <v>5</v>
      </c>
      <c r="I22" s="12">
        <v>5</v>
      </c>
      <c r="J22" s="12">
        <v>5</v>
      </c>
      <c r="K22" s="13">
        <f t="shared" si="0"/>
        <v>35</v>
      </c>
      <c r="L22" s="12">
        <v>5</v>
      </c>
      <c r="M22" s="12">
        <v>5</v>
      </c>
      <c r="N22" s="12">
        <v>3</v>
      </c>
      <c r="O22" s="12">
        <v>5</v>
      </c>
      <c r="P22" s="12">
        <v>4</v>
      </c>
      <c r="Q22" s="12">
        <v>4</v>
      </c>
      <c r="R22" s="12">
        <v>4</v>
      </c>
      <c r="S22" s="12">
        <v>5</v>
      </c>
      <c r="T22" s="12">
        <v>5</v>
      </c>
      <c r="U22" s="12">
        <v>5</v>
      </c>
      <c r="V22" s="12">
        <v>5</v>
      </c>
      <c r="W22" s="12">
        <v>3</v>
      </c>
      <c r="X22" s="12">
        <v>3</v>
      </c>
      <c r="Y22" s="12">
        <v>4</v>
      </c>
      <c r="Z22" s="12">
        <v>3</v>
      </c>
      <c r="AA22" s="12">
        <v>4</v>
      </c>
      <c r="AB22" s="13">
        <f t="shared" si="1"/>
        <v>67</v>
      </c>
      <c r="AC22" s="28" t="s">
        <v>30</v>
      </c>
    </row>
    <row r="23" ht="162" spans="1:29">
      <c r="A23" s="15"/>
      <c r="B23" s="10" t="s">
        <v>233</v>
      </c>
      <c r="C23" s="11" t="s">
        <v>234</v>
      </c>
      <c r="D23" s="12">
        <v>5</v>
      </c>
      <c r="E23" s="12">
        <v>5</v>
      </c>
      <c r="F23" s="12">
        <v>5</v>
      </c>
      <c r="G23" s="12">
        <v>5</v>
      </c>
      <c r="H23" s="12">
        <v>5</v>
      </c>
      <c r="I23" s="12">
        <v>5</v>
      </c>
      <c r="J23" s="12">
        <v>5</v>
      </c>
      <c r="K23" s="13">
        <f t="shared" ref="K22:K52" si="2">SUM(D23:J23)</f>
        <v>35</v>
      </c>
      <c r="L23" s="12">
        <v>5</v>
      </c>
      <c r="M23" s="12">
        <v>4</v>
      </c>
      <c r="N23" s="12">
        <v>3</v>
      </c>
      <c r="O23" s="12">
        <v>4</v>
      </c>
      <c r="P23" s="12">
        <v>2</v>
      </c>
      <c r="Q23" s="12">
        <v>3</v>
      </c>
      <c r="R23" s="12">
        <v>4</v>
      </c>
      <c r="S23" s="12">
        <v>5</v>
      </c>
      <c r="T23" s="12">
        <v>5</v>
      </c>
      <c r="U23" s="12">
        <v>4</v>
      </c>
      <c r="V23" s="12">
        <v>5</v>
      </c>
      <c r="W23" s="12">
        <v>3</v>
      </c>
      <c r="X23" s="12">
        <v>2</v>
      </c>
      <c r="Y23" s="12">
        <v>4</v>
      </c>
      <c r="Z23" s="12">
        <v>3</v>
      </c>
      <c r="AA23" s="12">
        <v>4</v>
      </c>
      <c r="AB23" s="13">
        <f t="shared" ref="AB22:AB52" si="3">SUM(L23:AA23)</f>
        <v>60</v>
      </c>
      <c r="AC23" s="29" t="s">
        <v>39</v>
      </c>
    </row>
    <row r="24" ht="121.5" spans="1:29">
      <c r="A24" s="15"/>
      <c r="B24" s="10" t="s">
        <v>235</v>
      </c>
      <c r="C24" s="11" t="s">
        <v>236</v>
      </c>
      <c r="D24" s="12">
        <v>5</v>
      </c>
      <c r="E24" s="12">
        <v>5</v>
      </c>
      <c r="F24" s="12">
        <v>5</v>
      </c>
      <c r="G24" s="12">
        <v>5</v>
      </c>
      <c r="H24" s="12">
        <v>5</v>
      </c>
      <c r="I24" s="12">
        <v>5</v>
      </c>
      <c r="J24" s="12">
        <v>5</v>
      </c>
      <c r="K24" s="13">
        <f t="shared" si="2"/>
        <v>35</v>
      </c>
      <c r="L24" s="12">
        <v>5</v>
      </c>
      <c r="M24" s="12">
        <v>4</v>
      </c>
      <c r="N24" s="12">
        <v>3</v>
      </c>
      <c r="O24" s="12">
        <v>4</v>
      </c>
      <c r="P24" s="12">
        <v>1</v>
      </c>
      <c r="Q24" s="12">
        <v>4</v>
      </c>
      <c r="R24" s="12">
        <v>4</v>
      </c>
      <c r="S24" s="12">
        <v>5</v>
      </c>
      <c r="T24" s="12">
        <v>5</v>
      </c>
      <c r="U24" s="12">
        <v>5</v>
      </c>
      <c r="V24" s="12">
        <v>5</v>
      </c>
      <c r="W24" s="12">
        <v>4</v>
      </c>
      <c r="X24" s="12">
        <v>2</v>
      </c>
      <c r="Y24" s="12">
        <v>4</v>
      </c>
      <c r="Z24" s="12">
        <v>3</v>
      </c>
      <c r="AA24" s="12">
        <v>4</v>
      </c>
      <c r="AB24" s="13">
        <f t="shared" si="3"/>
        <v>62</v>
      </c>
      <c r="AC24" s="29" t="s">
        <v>39</v>
      </c>
    </row>
    <row r="25" ht="162.4" spans="1:29">
      <c r="A25" s="15"/>
      <c r="B25" s="10" t="s">
        <v>237</v>
      </c>
      <c r="C25" s="11" t="s">
        <v>238</v>
      </c>
      <c r="D25" s="12">
        <v>5</v>
      </c>
      <c r="E25" s="12">
        <v>5</v>
      </c>
      <c r="F25" s="12">
        <v>5</v>
      </c>
      <c r="G25" s="12">
        <v>5</v>
      </c>
      <c r="H25" s="12">
        <v>5</v>
      </c>
      <c r="I25" s="12">
        <v>5</v>
      </c>
      <c r="J25" s="12">
        <v>5</v>
      </c>
      <c r="K25" s="13">
        <f t="shared" si="2"/>
        <v>35</v>
      </c>
      <c r="L25" s="12">
        <v>5</v>
      </c>
      <c r="M25" s="12">
        <v>5</v>
      </c>
      <c r="N25" s="12">
        <v>3</v>
      </c>
      <c r="O25" s="12">
        <v>5</v>
      </c>
      <c r="P25" s="12">
        <v>3</v>
      </c>
      <c r="Q25" s="12">
        <v>4</v>
      </c>
      <c r="R25" s="12">
        <v>4</v>
      </c>
      <c r="S25" s="12">
        <v>5</v>
      </c>
      <c r="T25" s="12">
        <v>5</v>
      </c>
      <c r="U25" s="12">
        <v>5</v>
      </c>
      <c r="V25" s="12">
        <v>5</v>
      </c>
      <c r="W25" s="12">
        <v>3</v>
      </c>
      <c r="X25" s="12">
        <v>3</v>
      </c>
      <c r="Y25" s="12">
        <v>3</v>
      </c>
      <c r="Z25" s="12">
        <v>3</v>
      </c>
      <c r="AA25" s="12">
        <v>3</v>
      </c>
      <c r="AB25" s="13">
        <f t="shared" si="3"/>
        <v>64</v>
      </c>
      <c r="AC25" s="28" t="s">
        <v>30</v>
      </c>
    </row>
    <row r="26" ht="216" spans="1:29">
      <c r="A26" s="15"/>
      <c r="B26" s="10" t="s">
        <v>239</v>
      </c>
      <c r="C26" s="11" t="s">
        <v>240</v>
      </c>
      <c r="D26" s="12">
        <v>5</v>
      </c>
      <c r="E26" s="12">
        <v>5</v>
      </c>
      <c r="F26" s="12">
        <v>5</v>
      </c>
      <c r="G26" s="12">
        <v>5</v>
      </c>
      <c r="H26" s="12">
        <v>5</v>
      </c>
      <c r="I26" s="12">
        <v>5</v>
      </c>
      <c r="J26" s="12">
        <v>5</v>
      </c>
      <c r="K26" s="13">
        <f t="shared" si="2"/>
        <v>35</v>
      </c>
      <c r="L26" s="12">
        <v>5</v>
      </c>
      <c r="M26" s="12">
        <v>5</v>
      </c>
      <c r="N26" s="12">
        <v>3</v>
      </c>
      <c r="O26" s="12">
        <v>5</v>
      </c>
      <c r="P26" s="12">
        <v>4</v>
      </c>
      <c r="Q26" s="12">
        <v>4</v>
      </c>
      <c r="R26" s="12">
        <v>4</v>
      </c>
      <c r="S26" s="12">
        <v>5</v>
      </c>
      <c r="T26" s="12">
        <v>5</v>
      </c>
      <c r="U26" s="12">
        <v>5</v>
      </c>
      <c r="V26" s="12">
        <v>5</v>
      </c>
      <c r="W26" s="12">
        <v>4</v>
      </c>
      <c r="X26" s="12">
        <v>4</v>
      </c>
      <c r="Y26" s="12">
        <v>4</v>
      </c>
      <c r="Z26" s="12">
        <v>3</v>
      </c>
      <c r="AA26" s="12">
        <v>4</v>
      </c>
      <c r="AB26" s="13">
        <f t="shared" si="3"/>
        <v>69</v>
      </c>
      <c r="AC26" s="28" t="s">
        <v>30</v>
      </c>
    </row>
    <row r="27" ht="148.5" spans="1:29">
      <c r="A27" s="15"/>
      <c r="B27" s="10" t="s">
        <v>241</v>
      </c>
      <c r="C27" s="11" t="s">
        <v>242</v>
      </c>
      <c r="D27" s="12">
        <v>5</v>
      </c>
      <c r="E27" s="12">
        <v>5</v>
      </c>
      <c r="F27" s="12">
        <v>5</v>
      </c>
      <c r="G27" s="12">
        <v>5</v>
      </c>
      <c r="H27" s="12">
        <v>5</v>
      </c>
      <c r="I27" s="12">
        <v>5</v>
      </c>
      <c r="J27" s="12">
        <v>5</v>
      </c>
      <c r="K27" s="13">
        <f t="shared" si="2"/>
        <v>35</v>
      </c>
      <c r="L27" s="12">
        <v>5</v>
      </c>
      <c r="M27" s="12">
        <v>4</v>
      </c>
      <c r="N27" s="12">
        <v>3</v>
      </c>
      <c r="O27" s="12">
        <v>4</v>
      </c>
      <c r="P27" s="12">
        <v>1</v>
      </c>
      <c r="Q27" s="12">
        <v>4</v>
      </c>
      <c r="R27" s="12">
        <v>4</v>
      </c>
      <c r="S27" s="12">
        <v>5</v>
      </c>
      <c r="T27" s="12">
        <v>5</v>
      </c>
      <c r="U27" s="12">
        <v>5</v>
      </c>
      <c r="V27" s="12">
        <v>5</v>
      </c>
      <c r="W27" s="12">
        <v>4</v>
      </c>
      <c r="X27" s="12">
        <v>3</v>
      </c>
      <c r="Y27" s="12">
        <v>4</v>
      </c>
      <c r="Z27" s="12">
        <v>3</v>
      </c>
      <c r="AA27" s="12">
        <v>4</v>
      </c>
      <c r="AB27" s="13">
        <f t="shared" si="3"/>
        <v>63</v>
      </c>
      <c r="AC27" s="28" t="s">
        <v>30</v>
      </c>
    </row>
    <row r="28" ht="135" spans="1:29">
      <c r="A28" s="21" t="s">
        <v>163</v>
      </c>
      <c r="B28" s="10" t="s">
        <v>243</v>
      </c>
      <c r="C28" s="11" t="s">
        <v>244</v>
      </c>
      <c r="D28" s="12">
        <v>5</v>
      </c>
      <c r="E28" s="12">
        <v>5</v>
      </c>
      <c r="F28" s="12">
        <v>5</v>
      </c>
      <c r="G28" s="12">
        <v>5</v>
      </c>
      <c r="H28" s="12">
        <v>5</v>
      </c>
      <c r="I28" s="12">
        <v>5</v>
      </c>
      <c r="J28" s="12">
        <v>5</v>
      </c>
      <c r="K28" s="13">
        <f t="shared" si="2"/>
        <v>35</v>
      </c>
      <c r="L28" s="12">
        <v>5</v>
      </c>
      <c r="M28" s="12">
        <v>5</v>
      </c>
      <c r="N28" s="12">
        <v>2</v>
      </c>
      <c r="O28" s="12">
        <v>5</v>
      </c>
      <c r="P28" s="12">
        <v>3</v>
      </c>
      <c r="Q28" s="12">
        <v>5</v>
      </c>
      <c r="R28" s="12">
        <v>4</v>
      </c>
      <c r="S28" s="12">
        <v>5</v>
      </c>
      <c r="T28" s="12">
        <v>5</v>
      </c>
      <c r="U28" s="12">
        <v>5</v>
      </c>
      <c r="V28" s="12">
        <v>5</v>
      </c>
      <c r="W28" s="12">
        <v>4</v>
      </c>
      <c r="X28" s="12">
        <v>3</v>
      </c>
      <c r="Y28" s="12">
        <v>4</v>
      </c>
      <c r="Z28" s="12">
        <v>3</v>
      </c>
      <c r="AA28" s="12">
        <v>4</v>
      </c>
      <c r="AB28" s="13">
        <f t="shared" si="3"/>
        <v>67</v>
      </c>
      <c r="AC28" s="28" t="s">
        <v>30</v>
      </c>
    </row>
    <row r="29" ht="121.5" spans="1:29">
      <c r="A29" s="21"/>
      <c r="B29" s="10" t="s">
        <v>245</v>
      </c>
      <c r="C29" s="11" t="s">
        <v>246</v>
      </c>
      <c r="D29" s="12">
        <v>5</v>
      </c>
      <c r="E29" s="12">
        <v>5</v>
      </c>
      <c r="F29" s="12">
        <v>5</v>
      </c>
      <c r="G29" s="12">
        <v>5</v>
      </c>
      <c r="H29" s="12">
        <v>5</v>
      </c>
      <c r="I29" s="12">
        <v>5</v>
      </c>
      <c r="J29" s="12">
        <v>5</v>
      </c>
      <c r="K29" s="13">
        <f t="shared" si="2"/>
        <v>35</v>
      </c>
      <c r="L29" s="12">
        <v>5</v>
      </c>
      <c r="M29" s="12">
        <v>5</v>
      </c>
      <c r="N29" s="12">
        <v>3</v>
      </c>
      <c r="O29" s="12">
        <v>4</v>
      </c>
      <c r="P29" s="12">
        <v>3</v>
      </c>
      <c r="Q29" s="12">
        <v>5</v>
      </c>
      <c r="R29" s="12">
        <v>4</v>
      </c>
      <c r="S29" s="12">
        <v>5</v>
      </c>
      <c r="T29" s="12">
        <v>5</v>
      </c>
      <c r="U29" s="12">
        <v>5</v>
      </c>
      <c r="V29" s="12">
        <v>5</v>
      </c>
      <c r="W29" s="12">
        <v>4</v>
      </c>
      <c r="X29" s="12">
        <v>3</v>
      </c>
      <c r="Y29" s="12">
        <v>4</v>
      </c>
      <c r="Z29" s="12">
        <v>3</v>
      </c>
      <c r="AA29" s="12">
        <v>4</v>
      </c>
      <c r="AB29" s="13">
        <f t="shared" si="3"/>
        <v>67</v>
      </c>
      <c r="AC29" s="28" t="s">
        <v>30</v>
      </c>
    </row>
    <row r="30" ht="189" spans="1:29">
      <c r="A30" s="21"/>
      <c r="B30" s="10" t="s">
        <v>247</v>
      </c>
      <c r="C30" s="11" t="s">
        <v>87</v>
      </c>
      <c r="D30" s="12">
        <v>5</v>
      </c>
      <c r="E30" s="12">
        <v>5</v>
      </c>
      <c r="F30" s="12">
        <v>5</v>
      </c>
      <c r="G30" s="12">
        <v>5</v>
      </c>
      <c r="H30" s="12">
        <v>5</v>
      </c>
      <c r="I30" s="12">
        <v>5</v>
      </c>
      <c r="J30" s="12">
        <v>5</v>
      </c>
      <c r="K30" s="13">
        <f t="shared" si="2"/>
        <v>35</v>
      </c>
      <c r="L30" s="12">
        <v>5</v>
      </c>
      <c r="M30" s="12">
        <v>5</v>
      </c>
      <c r="N30" s="12">
        <v>2</v>
      </c>
      <c r="O30" s="12">
        <v>4</v>
      </c>
      <c r="P30" s="12">
        <v>3</v>
      </c>
      <c r="Q30" s="12">
        <v>5</v>
      </c>
      <c r="R30" s="12">
        <v>4</v>
      </c>
      <c r="S30" s="12">
        <v>5</v>
      </c>
      <c r="T30" s="12">
        <v>5</v>
      </c>
      <c r="U30" s="12">
        <v>5</v>
      </c>
      <c r="V30" s="12">
        <v>5</v>
      </c>
      <c r="W30" s="12">
        <v>4</v>
      </c>
      <c r="X30" s="12">
        <v>2</v>
      </c>
      <c r="Y30" s="12">
        <v>4</v>
      </c>
      <c r="Z30" s="12">
        <v>3</v>
      </c>
      <c r="AA30" s="12">
        <v>4</v>
      </c>
      <c r="AB30" s="13">
        <f t="shared" si="3"/>
        <v>65</v>
      </c>
      <c r="AC30" s="28" t="s">
        <v>30</v>
      </c>
    </row>
    <row r="31" ht="175.5" spans="1:29">
      <c r="A31" s="21"/>
      <c r="B31" s="10" t="s">
        <v>248</v>
      </c>
      <c r="C31" s="11" t="s">
        <v>249</v>
      </c>
      <c r="D31" s="12">
        <v>5</v>
      </c>
      <c r="E31" s="12">
        <v>5</v>
      </c>
      <c r="F31" s="12">
        <v>4</v>
      </c>
      <c r="G31" s="12">
        <v>5</v>
      </c>
      <c r="H31" s="12">
        <v>5</v>
      </c>
      <c r="I31" s="12">
        <v>5</v>
      </c>
      <c r="J31" s="12">
        <v>4</v>
      </c>
      <c r="K31" s="13">
        <f t="shared" si="2"/>
        <v>33</v>
      </c>
      <c r="L31" s="12">
        <v>5</v>
      </c>
      <c r="M31" s="12">
        <v>5</v>
      </c>
      <c r="N31" s="12">
        <v>2</v>
      </c>
      <c r="O31" s="12">
        <v>5</v>
      </c>
      <c r="P31" s="12">
        <v>3</v>
      </c>
      <c r="Q31" s="12">
        <v>5</v>
      </c>
      <c r="R31" s="12">
        <v>4</v>
      </c>
      <c r="S31" s="12">
        <v>5</v>
      </c>
      <c r="T31" s="12">
        <v>5</v>
      </c>
      <c r="U31" s="12">
        <v>5</v>
      </c>
      <c r="V31" s="12">
        <v>5</v>
      </c>
      <c r="W31" s="12">
        <v>4</v>
      </c>
      <c r="X31" s="12">
        <v>2</v>
      </c>
      <c r="Y31" s="12">
        <v>4</v>
      </c>
      <c r="Z31" s="12">
        <v>3</v>
      </c>
      <c r="AA31" s="12">
        <v>4</v>
      </c>
      <c r="AB31" s="13">
        <f t="shared" si="3"/>
        <v>66</v>
      </c>
      <c r="AC31" s="28" t="s">
        <v>30</v>
      </c>
    </row>
    <row r="32" ht="202.5" spans="1:29">
      <c r="A32" s="21"/>
      <c r="B32" s="10" t="s">
        <v>250</v>
      </c>
      <c r="C32" s="11" t="s">
        <v>251</v>
      </c>
      <c r="D32" s="12">
        <v>5</v>
      </c>
      <c r="E32" s="12">
        <v>5</v>
      </c>
      <c r="F32" s="12">
        <v>4</v>
      </c>
      <c r="G32" s="12">
        <v>5</v>
      </c>
      <c r="H32" s="12">
        <v>5</v>
      </c>
      <c r="I32" s="12">
        <v>5</v>
      </c>
      <c r="J32" s="12">
        <v>5</v>
      </c>
      <c r="K32" s="13">
        <f t="shared" si="2"/>
        <v>34</v>
      </c>
      <c r="L32" s="12">
        <v>5</v>
      </c>
      <c r="M32" s="12">
        <v>5</v>
      </c>
      <c r="N32" s="12">
        <v>2</v>
      </c>
      <c r="O32" s="12">
        <v>5</v>
      </c>
      <c r="P32" s="12">
        <v>3</v>
      </c>
      <c r="Q32" s="12">
        <v>5</v>
      </c>
      <c r="R32" s="12">
        <v>4</v>
      </c>
      <c r="S32" s="12">
        <v>5</v>
      </c>
      <c r="T32" s="12">
        <v>5</v>
      </c>
      <c r="U32" s="12">
        <v>5</v>
      </c>
      <c r="V32" s="12">
        <v>5</v>
      </c>
      <c r="W32" s="12">
        <v>4</v>
      </c>
      <c r="X32" s="12">
        <v>2</v>
      </c>
      <c r="Y32" s="12">
        <v>4</v>
      </c>
      <c r="Z32" s="12">
        <v>3</v>
      </c>
      <c r="AA32" s="12">
        <v>4</v>
      </c>
      <c r="AB32" s="13">
        <f t="shared" si="3"/>
        <v>66</v>
      </c>
      <c r="AC32" s="28" t="s">
        <v>30</v>
      </c>
    </row>
    <row r="33" ht="162" spans="1:29">
      <c r="A33" s="21"/>
      <c r="B33" s="10" t="s">
        <v>252</v>
      </c>
      <c r="C33" s="11" t="s">
        <v>253</v>
      </c>
      <c r="D33" s="12">
        <v>5</v>
      </c>
      <c r="E33" s="12">
        <v>5</v>
      </c>
      <c r="F33" s="12">
        <v>4</v>
      </c>
      <c r="G33" s="12">
        <v>5</v>
      </c>
      <c r="H33" s="12">
        <v>5</v>
      </c>
      <c r="I33" s="12">
        <v>5</v>
      </c>
      <c r="J33" s="12">
        <v>4</v>
      </c>
      <c r="K33" s="13">
        <f t="shared" si="2"/>
        <v>33</v>
      </c>
      <c r="L33" s="12">
        <v>5</v>
      </c>
      <c r="M33" s="12">
        <v>5</v>
      </c>
      <c r="N33" s="12">
        <v>3</v>
      </c>
      <c r="O33" s="12">
        <v>5</v>
      </c>
      <c r="P33" s="12">
        <v>3</v>
      </c>
      <c r="Q33" s="12">
        <v>5</v>
      </c>
      <c r="R33" s="12">
        <v>4</v>
      </c>
      <c r="S33" s="12">
        <v>5</v>
      </c>
      <c r="T33" s="12">
        <v>5</v>
      </c>
      <c r="U33" s="12">
        <v>5</v>
      </c>
      <c r="V33" s="12">
        <v>5</v>
      </c>
      <c r="W33" s="12">
        <v>4</v>
      </c>
      <c r="X33" s="12">
        <v>3</v>
      </c>
      <c r="Y33" s="12">
        <v>4</v>
      </c>
      <c r="Z33" s="12">
        <v>3</v>
      </c>
      <c r="AA33" s="12">
        <v>4</v>
      </c>
      <c r="AB33" s="13">
        <f t="shared" si="3"/>
        <v>68</v>
      </c>
      <c r="AC33" s="28" t="s">
        <v>30</v>
      </c>
    </row>
    <row r="34" ht="157" customHeight="1" spans="1:29">
      <c r="A34" s="21"/>
      <c r="B34" s="10" t="s">
        <v>254</v>
      </c>
      <c r="C34" s="11" t="s">
        <v>255</v>
      </c>
      <c r="D34" s="12">
        <v>5</v>
      </c>
      <c r="E34" s="12">
        <v>5</v>
      </c>
      <c r="F34" s="12">
        <v>4</v>
      </c>
      <c r="G34" s="12">
        <v>5</v>
      </c>
      <c r="H34" s="12">
        <v>5</v>
      </c>
      <c r="I34" s="12">
        <v>5</v>
      </c>
      <c r="J34" s="12">
        <v>5</v>
      </c>
      <c r="K34" s="13">
        <f t="shared" si="2"/>
        <v>34</v>
      </c>
      <c r="L34" s="12">
        <v>5</v>
      </c>
      <c r="M34" s="12">
        <v>5</v>
      </c>
      <c r="N34" s="12">
        <v>3</v>
      </c>
      <c r="O34" s="12">
        <v>5</v>
      </c>
      <c r="P34" s="12">
        <v>3</v>
      </c>
      <c r="Q34" s="12">
        <v>5</v>
      </c>
      <c r="R34" s="12">
        <v>4</v>
      </c>
      <c r="S34" s="12">
        <v>5</v>
      </c>
      <c r="T34" s="12">
        <v>5</v>
      </c>
      <c r="U34" s="12">
        <v>5</v>
      </c>
      <c r="V34" s="12">
        <v>5</v>
      </c>
      <c r="W34" s="12">
        <v>4</v>
      </c>
      <c r="X34" s="12">
        <v>3</v>
      </c>
      <c r="Y34" s="12">
        <v>4</v>
      </c>
      <c r="Z34" s="12">
        <v>3</v>
      </c>
      <c r="AA34" s="12">
        <v>4</v>
      </c>
      <c r="AB34" s="13">
        <f t="shared" si="3"/>
        <v>68</v>
      </c>
      <c r="AC34" s="28" t="s">
        <v>30</v>
      </c>
    </row>
    <row r="35" ht="162" spans="1:29">
      <c r="A35" s="21"/>
      <c r="B35" s="10" t="s">
        <v>256</v>
      </c>
      <c r="C35" s="11" t="s">
        <v>257</v>
      </c>
      <c r="D35" s="12">
        <v>5</v>
      </c>
      <c r="E35" s="12">
        <v>5</v>
      </c>
      <c r="F35" s="12">
        <v>4</v>
      </c>
      <c r="G35" s="12">
        <v>5</v>
      </c>
      <c r="H35" s="12">
        <v>5</v>
      </c>
      <c r="I35" s="12">
        <v>5</v>
      </c>
      <c r="J35" s="12">
        <v>5</v>
      </c>
      <c r="K35" s="13">
        <f t="shared" si="2"/>
        <v>34</v>
      </c>
      <c r="L35" s="12">
        <v>5</v>
      </c>
      <c r="M35" s="12">
        <v>5</v>
      </c>
      <c r="N35" s="12">
        <v>3</v>
      </c>
      <c r="O35" s="12">
        <v>5</v>
      </c>
      <c r="P35" s="12">
        <v>3</v>
      </c>
      <c r="Q35" s="12">
        <v>5</v>
      </c>
      <c r="R35" s="12">
        <v>4</v>
      </c>
      <c r="S35" s="12">
        <v>5</v>
      </c>
      <c r="T35" s="12">
        <v>5</v>
      </c>
      <c r="U35" s="12">
        <v>5</v>
      </c>
      <c r="V35" s="12">
        <v>5</v>
      </c>
      <c r="W35" s="12">
        <v>4</v>
      </c>
      <c r="X35" s="12">
        <v>3</v>
      </c>
      <c r="Y35" s="12">
        <v>4</v>
      </c>
      <c r="Z35" s="12">
        <v>3</v>
      </c>
      <c r="AA35" s="12">
        <v>4</v>
      </c>
      <c r="AB35" s="13">
        <f t="shared" si="3"/>
        <v>68</v>
      </c>
      <c r="AC35" s="28" t="s">
        <v>30</v>
      </c>
    </row>
    <row r="36" ht="216" spans="1:29">
      <c r="A36" s="21"/>
      <c r="B36" s="10" t="s">
        <v>258</v>
      </c>
      <c r="C36" s="11" t="s">
        <v>259</v>
      </c>
      <c r="D36" s="12">
        <v>5</v>
      </c>
      <c r="E36" s="12">
        <v>5</v>
      </c>
      <c r="F36" s="12">
        <v>5</v>
      </c>
      <c r="G36" s="12">
        <v>5</v>
      </c>
      <c r="H36" s="12">
        <v>5</v>
      </c>
      <c r="I36" s="12">
        <v>5</v>
      </c>
      <c r="J36" s="12">
        <v>5</v>
      </c>
      <c r="K36" s="13">
        <f t="shared" si="2"/>
        <v>35</v>
      </c>
      <c r="L36" s="12">
        <v>5</v>
      </c>
      <c r="M36" s="12">
        <v>5</v>
      </c>
      <c r="N36" s="12">
        <v>2</v>
      </c>
      <c r="O36" s="12">
        <v>5</v>
      </c>
      <c r="P36" s="12">
        <v>3</v>
      </c>
      <c r="Q36" s="12">
        <v>5</v>
      </c>
      <c r="R36" s="12">
        <v>4</v>
      </c>
      <c r="S36" s="12">
        <v>5</v>
      </c>
      <c r="T36" s="12">
        <v>5</v>
      </c>
      <c r="U36" s="12">
        <v>5</v>
      </c>
      <c r="V36" s="12">
        <v>5</v>
      </c>
      <c r="W36" s="12">
        <v>4</v>
      </c>
      <c r="X36" s="12">
        <v>4</v>
      </c>
      <c r="Y36" s="12">
        <v>4</v>
      </c>
      <c r="Z36" s="12">
        <v>3</v>
      </c>
      <c r="AA36" s="12">
        <v>4</v>
      </c>
      <c r="AB36" s="13">
        <f t="shared" si="3"/>
        <v>68</v>
      </c>
      <c r="AC36" s="28" t="s">
        <v>30</v>
      </c>
    </row>
    <row r="37" ht="189" spans="1:29">
      <c r="A37" s="21"/>
      <c r="B37" s="10" t="s">
        <v>260</v>
      </c>
      <c r="C37" s="11" t="s">
        <v>261</v>
      </c>
      <c r="D37" s="12">
        <v>5</v>
      </c>
      <c r="E37" s="12">
        <v>5</v>
      </c>
      <c r="F37" s="12">
        <v>5</v>
      </c>
      <c r="G37" s="12">
        <v>5</v>
      </c>
      <c r="H37" s="12">
        <v>5</v>
      </c>
      <c r="I37" s="12">
        <v>5</v>
      </c>
      <c r="J37" s="12">
        <v>5</v>
      </c>
      <c r="K37" s="13">
        <f t="shared" si="2"/>
        <v>35</v>
      </c>
      <c r="L37" s="12">
        <v>5</v>
      </c>
      <c r="M37" s="12">
        <v>5</v>
      </c>
      <c r="N37" s="12">
        <v>2</v>
      </c>
      <c r="O37" s="12">
        <v>5</v>
      </c>
      <c r="P37" s="12">
        <v>3</v>
      </c>
      <c r="Q37" s="12">
        <v>5</v>
      </c>
      <c r="R37" s="12">
        <v>4</v>
      </c>
      <c r="S37" s="12">
        <v>5</v>
      </c>
      <c r="T37" s="12">
        <v>5</v>
      </c>
      <c r="U37" s="12">
        <v>5</v>
      </c>
      <c r="V37" s="12">
        <v>5</v>
      </c>
      <c r="W37" s="12">
        <v>4</v>
      </c>
      <c r="X37" s="12">
        <v>4</v>
      </c>
      <c r="Y37" s="12">
        <v>4</v>
      </c>
      <c r="Z37" s="12">
        <v>3</v>
      </c>
      <c r="AA37" s="12">
        <v>4</v>
      </c>
      <c r="AB37" s="13">
        <f t="shared" si="3"/>
        <v>68</v>
      </c>
      <c r="AC37" s="28" t="s">
        <v>30</v>
      </c>
    </row>
    <row r="38" ht="202.9" spans="1:29">
      <c r="A38" s="21"/>
      <c r="B38" s="10" t="s">
        <v>262</v>
      </c>
      <c r="C38" s="11" t="s">
        <v>263</v>
      </c>
      <c r="D38" s="12">
        <v>5</v>
      </c>
      <c r="E38" s="12">
        <v>5</v>
      </c>
      <c r="F38" s="12">
        <v>4</v>
      </c>
      <c r="G38" s="12">
        <v>5</v>
      </c>
      <c r="H38" s="12">
        <v>5</v>
      </c>
      <c r="I38" s="12">
        <v>5</v>
      </c>
      <c r="J38" s="12">
        <v>5</v>
      </c>
      <c r="K38" s="13">
        <f t="shared" si="2"/>
        <v>34</v>
      </c>
      <c r="L38" s="12">
        <v>5</v>
      </c>
      <c r="M38" s="12">
        <v>5</v>
      </c>
      <c r="N38" s="12">
        <v>2</v>
      </c>
      <c r="O38" s="12">
        <v>5</v>
      </c>
      <c r="P38" s="12">
        <v>3</v>
      </c>
      <c r="Q38" s="12">
        <v>5</v>
      </c>
      <c r="R38" s="12">
        <v>4</v>
      </c>
      <c r="S38" s="12">
        <v>5</v>
      </c>
      <c r="T38" s="12">
        <v>5</v>
      </c>
      <c r="U38" s="12">
        <v>5</v>
      </c>
      <c r="V38" s="12">
        <v>5</v>
      </c>
      <c r="W38" s="12">
        <v>4</v>
      </c>
      <c r="X38" s="12">
        <v>4</v>
      </c>
      <c r="Y38" s="12">
        <v>4</v>
      </c>
      <c r="Z38" s="12">
        <v>3</v>
      </c>
      <c r="AA38" s="12">
        <v>4</v>
      </c>
      <c r="AB38" s="13">
        <f t="shared" si="3"/>
        <v>68</v>
      </c>
      <c r="AC38" s="28" t="s">
        <v>30</v>
      </c>
    </row>
    <row r="39" ht="148.5" spans="1:29">
      <c r="A39" s="21"/>
      <c r="B39" s="10" t="s">
        <v>264</v>
      </c>
      <c r="C39" s="11" t="s">
        <v>265</v>
      </c>
      <c r="D39" s="12">
        <v>4</v>
      </c>
      <c r="E39" s="12">
        <v>5</v>
      </c>
      <c r="F39" s="12">
        <v>5</v>
      </c>
      <c r="G39" s="12">
        <v>5</v>
      </c>
      <c r="H39" s="12">
        <v>5</v>
      </c>
      <c r="I39" s="12">
        <v>5</v>
      </c>
      <c r="J39" s="12">
        <v>5</v>
      </c>
      <c r="K39" s="13">
        <f t="shared" si="2"/>
        <v>34</v>
      </c>
      <c r="L39" s="12">
        <v>4</v>
      </c>
      <c r="M39" s="12">
        <v>5</v>
      </c>
      <c r="N39" s="12">
        <v>3</v>
      </c>
      <c r="O39" s="12">
        <v>5</v>
      </c>
      <c r="P39" s="12">
        <v>3</v>
      </c>
      <c r="Q39" s="12">
        <v>5</v>
      </c>
      <c r="R39" s="12">
        <v>4</v>
      </c>
      <c r="S39" s="12">
        <v>3</v>
      </c>
      <c r="T39" s="12">
        <v>5</v>
      </c>
      <c r="U39" s="12">
        <v>5</v>
      </c>
      <c r="V39" s="12">
        <v>5</v>
      </c>
      <c r="W39" s="12">
        <v>4</v>
      </c>
      <c r="X39" s="12">
        <v>2</v>
      </c>
      <c r="Y39" s="12">
        <v>4</v>
      </c>
      <c r="Z39" s="12">
        <v>3</v>
      </c>
      <c r="AA39" s="12">
        <v>4</v>
      </c>
      <c r="AB39" s="13">
        <f t="shared" si="3"/>
        <v>64</v>
      </c>
      <c r="AC39" s="28" t="s">
        <v>30</v>
      </c>
    </row>
    <row r="40" ht="148.5" spans="1:29">
      <c r="A40" s="21"/>
      <c r="B40" s="10" t="s">
        <v>266</v>
      </c>
      <c r="C40" s="11" t="s">
        <v>267</v>
      </c>
      <c r="D40" s="12">
        <v>4</v>
      </c>
      <c r="E40" s="12">
        <v>5</v>
      </c>
      <c r="F40" s="12">
        <v>5</v>
      </c>
      <c r="G40" s="12">
        <v>5</v>
      </c>
      <c r="H40" s="12">
        <v>5</v>
      </c>
      <c r="I40" s="12">
        <v>5</v>
      </c>
      <c r="J40" s="12">
        <v>5</v>
      </c>
      <c r="K40" s="13">
        <f t="shared" si="2"/>
        <v>34</v>
      </c>
      <c r="L40" s="12">
        <v>4</v>
      </c>
      <c r="M40" s="12">
        <v>5</v>
      </c>
      <c r="N40" s="12">
        <v>3</v>
      </c>
      <c r="O40" s="12">
        <v>5</v>
      </c>
      <c r="P40" s="12">
        <v>3</v>
      </c>
      <c r="Q40" s="12">
        <v>5</v>
      </c>
      <c r="R40" s="12">
        <v>4</v>
      </c>
      <c r="S40" s="12">
        <v>3</v>
      </c>
      <c r="T40" s="12">
        <v>5</v>
      </c>
      <c r="U40" s="12">
        <v>5</v>
      </c>
      <c r="V40" s="12">
        <v>5</v>
      </c>
      <c r="W40" s="12">
        <v>4</v>
      </c>
      <c r="X40" s="12">
        <v>2</v>
      </c>
      <c r="Y40" s="12">
        <v>4</v>
      </c>
      <c r="Z40" s="12">
        <v>3</v>
      </c>
      <c r="AA40" s="12">
        <v>4</v>
      </c>
      <c r="AB40" s="13">
        <f t="shared" si="3"/>
        <v>64</v>
      </c>
      <c r="AC40" s="28" t="s">
        <v>30</v>
      </c>
    </row>
    <row r="41" ht="121.5" spans="1:29">
      <c r="A41" s="21"/>
      <c r="B41" s="10" t="s">
        <v>268</v>
      </c>
      <c r="C41" s="11" t="s">
        <v>269</v>
      </c>
      <c r="D41" s="12">
        <v>4</v>
      </c>
      <c r="E41" s="12">
        <v>5</v>
      </c>
      <c r="F41" s="12">
        <v>5</v>
      </c>
      <c r="G41" s="12">
        <v>5</v>
      </c>
      <c r="H41" s="12">
        <v>5</v>
      </c>
      <c r="I41" s="12">
        <v>5</v>
      </c>
      <c r="J41" s="12">
        <v>5</v>
      </c>
      <c r="K41" s="13">
        <f t="shared" si="2"/>
        <v>34</v>
      </c>
      <c r="L41" s="12">
        <v>4</v>
      </c>
      <c r="M41" s="12">
        <v>5</v>
      </c>
      <c r="N41" s="12">
        <v>3</v>
      </c>
      <c r="O41" s="12">
        <v>5</v>
      </c>
      <c r="P41" s="12">
        <v>3</v>
      </c>
      <c r="Q41" s="12">
        <v>5</v>
      </c>
      <c r="R41" s="12">
        <v>4</v>
      </c>
      <c r="S41" s="12">
        <v>3</v>
      </c>
      <c r="T41" s="12">
        <v>5</v>
      </c>
      <c r="U41" s="12">
        <v>5</v>
      </c>
      <c r="V41" s="12">
        <v>5</v>
      </c>
      <c r="W41" s="12">
        <v>4</v>
      </c>
      <c r="X41" s="12">
        <v>2</v>
      </c>
      <c r="Y41" s="12">
        <v>4</v>
      </c>
      <c r="Z41" s="12">
        <v>3</v>
      </c>
      <c r="AA41" s="12">
        <v>4</v>
      </c>
      <c r="AB41" s="13">
        <f t="shared" si="3"/>
        <v>64</v>
      </c>
      <c r="AC41" s="28" t="s">
        <v>30</v>
      </c>
    </row>
    <row r="42" ht="162" spans="1:29">
      <c r="A42" s="15" t="s">
        <v>110</v>
      </c>
      <c r="B42" s="10" t="s">
        <v>270</v>
      </c>
      <c r="C42" s="11" t="s">
        <v>271</v>
      </c>
      <c r="D42" s="12">
        <v>5</v>
      </c>
      <c r="E42" s="12">
        <v>5</v>
      </c>
      <c r="F42" s="12">
        <v>4</v>
      </c>
      <c r="G42" s="12">
        <v>5</v>
      </c>
      <c r="H42" s="12">
        <v>5</v>
      </c>
      <c r="I42" s="12">
        <v>5</v>
      </c>
      <c r="J42" s="12">
        <v>5</v>
      </c>
      <c r="K42" s="13">
        <f t="shared" si="2"/>
        <v>34</v>
      </c>
      <c r="L42" s="12">
        <v>5</v>
      </c>
      <c r="M42" s="12">
        <v>5</v>
      </c>
      <c r="N42" s="12">
        <v>2</v>
      </c>
      <c r="O42" s="12">
        <v>5</v>
      </c>
      <c r="P42" s="12">
        <v>2</v>
      </c>
      <c r="Q42" s="12">
        <v>5</v>
      </c>
      <c r="R42" s="12">
        <v>4</v>
      </c>
      <c r="S42" s="12">
        <v>5</v>
      </c>
      <c r="T42" s="12">
        <v>5</v>
      </c>
      <c r="U42" s="12">
        <v>5</v>
      </c>
      <c r="V42" s="12">
        <v>5</v>
      </c>
      <c r="W42" s="12">
        <v>4</v>
      </c>
      <c r="X42" s="12">
        <v>2</v>
      </c>
      <c r="Y42" s="12">
        <v>4</v>
      </c>
      <c r="Z42" s="12">
        <v>3</v>
      </c>
      <c r="AA42" s="12">
        <v>5</v>
      </c>
      <c r="AB42" s="13">
        <f t="shared" si="3"/>
        <v>66</v>
      </c>
      <c r="AC42" s="29" t="s">
        <v>39</v>
      </c>
    </row>
    <row r="43" ht="162" spans="1:29">
      <c r="A43" s="15"/>
      <c r="B43" s="10" t="s">
        <v>272</v>
      </c>
      <c r="C43" s="11" t="s">
        <v>273</v>
      </c>
      <c r="D43" s="12">
        <v>5</v>
      </c>
      <c r="E43" s="12">
        <v>5</v>
      </c>
      <c r="F43" s="12">
        <v>5</v>
      </c>
      <c r="G43" s="12">
        <v>5</v>
      </c>
      <c r="H43" s="12">
        <v>5</v>
      </c>
      <c r="I43" s="12">
        <v>5</v>
      </c>
      <c r="J43" s="12">
        <v>5</v>
      </c>
      <c r="K43" s="13">
        <f t="shared" si="2"/>
        <v>35</v>
      </c>
      <c r="L43" s="12">
        <v>5</v>
      </c>
      <c r="M43" s="12">
        <v>5</v>
      </c>
      <c r="N43" s="12">
        <v>2</v>
      </c>
      <c r="O43" s="12">
        <v>5</v>
      </c>
      <c r="P43" s="12">
        <v>2</v>
      </c>
      <c r="Q43" s="12">
        <v>5</v>
      </c>
      <c r="R43" s="12">
        <v>4</v>
      </c>
      <c r="S43" s="12">
        <v>5</v>
      </c>
      <c r="T43" s="12">
        <v>5</v>
      </c>
      <c r="U43" s="12">
        <v>5</v>
      </c>
      <c r="V43" s="12">
        <v>5</v>
      </c>
      <c r="W43" s="12">
        <v>4</v>
      </c>
      <c r="X43" s="12">
        <v>2</v>
      </c>
      <c r="Y43" s="12">
        <v>4</v>
      </c>
      <c r="Z43" s="12">
        <v>3</v>
      </c>
      <c r="AA43" s="12">
        <v>5</v>
      </c>
      <c r="AB43" s="13">
        <f t="shared" si="3"/>
        <v>66</v>
      </c>
      <c r="AC43" s="29" t="s">
        <v>39</v>
      </c>
    </row>
    <row r="44" ht="162" spans="1:29">
      <c r="A44" s="15"/>
      <c r="B44" s="10" t="s">
        <v>274</v>
      </c>
      <c r="C44" s="11" t="s">
        <v>275</v>
      </c>
      <c r="D44" s="12">
        <v>5</v>
      </c>
      <c r="E44" s="12">
        <v>5</v>
      </c>
      <c r="F44" s="12">
        <v>5</v>
      </c>
      <c r="G44" s="12">
        <v>5</v>
      </c>
      <c r="H44" s="12">
        <v>5</v>
      </c>
      <c r="I44" s="12">
        <v>5</v>
      </c>
      <c r="J44" s="12">
        <v>5</v>
      </c>
      <c r="K44" s="13">
        <f t="shared" si="2"/>
        <v>35</v>
      </c>
      <c r="L44" s="12">
        <v>5</v>
      </c>
      <c r="M44" s="12">
        <v>5</v>
      </c>
      <c r="N44" s="12">
        <v>2</v>
      </c>
      <c r="O44" s="12">
        <v>5</v>
      </c>
      <c r="P44" s="12">
        <v>2</v>
      </c>
      <c r="Q44" s="12">
        <v>5</v>
      </c>
      <c r="R44" s="12">
        <v>4</v>
      </c>
      <c r="S44" s="12">
        <v>3</v>
      </c>
      <c r="T44" s="12">
        <v>5</v>
      </c>
      <c r="U44" s="12">
        <v>5</v>
      </c>
      <c r="V44" s="12">
        <v>5</v>
      </c>
      <c r="W44" s="12">
        <v>4</v>
      </c>
      <c r="X44" s="12">
        <v>2</v>
      </c>
      <c r="Y44" s="12">
        <v>3</v>
      </c>
      <c r="Z44" s="12">
        <v>3</v>
      </c>
      <c r="AA44" s="12">
        <v>5</v>
      </c>
      <c r="AB44" s="13">
        <f t="shared" si="3"/>
        <v>63</v>
      </c>
      <c r="AC44" s="29" t="s">
        <v>39</v>
      </c>
    </row>
    <row r="45" ht="135" spans="1:29">
      <c r="A45" s="22" t="s">
        <v>276</v>
      </c>
      <c r="B45" s="10" t="s">
        <v>277</v>
      </c>
      <c r="C45" s="11" t="s">
        <v>278</v>
      </c>
      <c r="D45" s="12">
        <v>5</v>
      </c>
      <c r="E45" s="12">
        <v>5</v>
      </c>
      <c r="F45" s="12">
        <v>4</v>
      </c>
      <c r="G45" s="12">
        <v>5</v>
      </c>
      <c r="H45" s="12">
        <v>5</v>
      </c>
      <c r="I45" s="12">
        <v>5</v>
      </c>
      <c r="J45" s="12">
        <v>5</v>
      </c>
      <c r="K45" s="13">
        <f t="shared" si="2"/>
        <v>34</v>
      </c>
      <c r="L45" s="12">
        <v>5</v>
      </c>
      <c r="M45" s="12">
        <v>5</v>
      </c>
      <c r="N45" s="12">
        <v>4</v>
      </c>
      <c r="O45" s="12">
        <v>5</v>
      </c>
      <c r="P45" s="12">
        <v>2</v>
      </c>
      <c r="Q45" s="12">
        <v>4</v>
      </c>
      <c r="R45" s="12">
        <v>4</v>
      </c>
      <c r="S45" s="12">
        <v>1</v>
      </c>
      <c r="T45" s="12">
        <v>5</v>
      </c>
      <c r="U45" s="12">
        <v>5</v>
      </c>
      <c r="V45" s="12">
        <v>5</v>
      </c>
      <c r="W45" s="12">
        <v>4</v>
      </c>
      <c r="X45" s="12">
        <v>2</v>
      </c>
      <c r="Y45" s="12">
        <v>3</v>
      </c>
      <c r="Z45" s="12">
        <v>3</v>
      </c>
      <c r="AA45" s="12">
        <v>3</v>
      </c>
      <c r="AB45" s="13">
        <f t="shared" si="3"/>
        <v>60</v>
      </c>
      <c r="AC45" s="29" t="s">
        <v>39</v>
      </c>
    </row>
    <row r="46" customFormat="1" ht="195" customHeight="1" spans="1:29">
      <c r="A46" s="23"/>
      <c r="B46" s="10" t="s">
        <v>279</v>
      </c>
      <c r="C46" s="11" t="s">
        <v>280</v>
      </c>
      <c r="D46" s="12">
        <v>5</v>
      </c>
      <c r="E46" s="12">
        <v>5</v>
      </c>
      <c r="F46" s="12">
        <v>5</v>
      </c>
      <c r="G46" s="12">
        <v>5</v>
      </c>
      <c r="H46" s="12">
        <v>5</v>
      </c>
      <c r="I46" s="12">
        <v>5</v>
      </c>
      <c r="J46" s="12">
        <v>5</v>
      </c>
      <c r="K46" s="13">
        <f t="shared" si="2"/>
        <v>35</v>
      </c>
      <c r="L46" s="12">
        <v>5</v>
      </c>
      <c r="M46" s="12">
        <v>5</v>
      </c>
      <c r="N46" s="12">
        <v>2</v>
      </c>
      <c r="O46" s="12">
        <v>5</v>
      </c>
      <c r="P46" s="12">
        <v>2</v>
      </c>
      <c r="Q46" s="12">
        <v>4</v>
      </c>
      <c r="R46" s="12">
        <v>4</v>
      </c>
      <c r="S46" s="12">
        <v>3</v>
      </c>
      <c r="T46" s="12">
        <v>5</v>
      </c>
      <c r="U46" s="12">
        <v>5</v>
      </c>
      <c r="V46" s="12">
        <v>5</v>
      </c>
      <c r="W46" s="12">
        <v>4</v>
      </c>
      <c r="X46" s="12">
        <v>2</v>
      </c>
      <c r="Y46" s="12">
        <v>4</v>
      </c>
      <c r="Z46" s="12">
        <v>3</v>
      </c>
      <c r="AA46" s="12">
        <v>3</v>
      </c>
      <c r="AB46" s="13">
        <f t="shared" si="3"/>
        <v>61</v>
      </c>
      <c r="AC46" s="28" t="s">
        <v>30</v>
      </c>
    </row>
    <row r="47" customFormat="1" ht="223" customHeight="1" spans="1:29">
      <c r="A47" s="23"/>
      <c r="B47" s="10" t="s">
        <v>281</v>
      </c>
      <c r="C47" s="11" t="s">
        <v>282</v>
      </c>
      <c r="D47" s="12">
        <v>5</v>
      </c>
      <c r="E47" s="12">
        <v>5</v>
      </c>
      <c r="F47" s="12">
        <v>5</v>
      </c>
      <c r="G47" s="12">
        <v>5</v>
      </c>
      <c r="H47" s="12">
        <v>5</v>
      </c>
      <c r="I47" s="12">
        <v>5</v>
      </c>
      <c r="J47" s="12">
        <v>5</v>
      </c>
      <c r="K47" s="13">
        <f t="shared" si="2"/>
        <v>35</v>
      </c>
      <c r="L47" s="12">
        <v>5</v>
      </c>
      <c r="M47" s="12">
        <v>5</v>
      </c>
      <c r="N47" s="12">
        <v>2</v>
      </c>
      <c r="O47" s="12">
        <v>5</v>
      </c>
      <c r="P47" s="12">
        <v>4</v>
      </c>
      <c r="Q47" s="12">
        <v>4</v>
      </c>
      <c r="R47" s="12">
        <v>4</v>
      </c>
      <c r="S47" s="12">
        <v>3</v>
      </c>
      <c r="T47" s="12">
        <v>5</v>
      </c>
      <c r="U47" s="12">
        <v>3</v>
      </c>
      <c r="V47" s="12">
        <v>5</v>
      </c>
      <c r="W47" s="12">
        <v>4</v>
      </c>
      <c r="X47" s="12">
        <v>3</v>
      </c>
      <c r="Y47" s="12">
        <v>4</v>
      </c>
      <c r="Z47" s="12">
        <v>3</v>
      </c>
      <c r="AA47" s="12">
        <v>3</v>
      </c>
      <c r="AB47" s="13">
        <f t="shared" si="3"/>
        <v>62</v>
      </c>
      <c r="AC47" s="29" t="s">
        <v>39</v>
      </c>
    </row>
    <row r="48" customFormat="1" ht="178" customHeight="1" spans="1:29">
      <c r="A48" s="23"/>
      <c r="B48" s="10" t="s">
        <v>283</v>
      </c>
      <c r="C48" s="11" t="s">
        <v>284</v>
      </c>
      <c r="D48" s="12">
        <v>5</v>
      </c>
      <c r="E48" s="12">
        <v>5</v>
      </c>
      <c r="F48" s="12">
        <v>5</v>
      </c>
      <c r="G48" s="12">
        <v>5</v>
      </c>
      <c r="H48" s="12">
        <v>5</v>
      </c>
      <c r="I48" s="12">
        <v>5</v>
      </c>
      <c r="J48" s="12">
        <v>5</v>
      </c>
      <c r="K48" s="13">
        <f t="shared" si="2"/>
        <v>35</v>
      </c>
      <c r="L48" s="12">
        <v>4</v>
      </c>
      <c r="M48" s="12">
        <v>4</v>
      </c>
      <c r="N48" s="12">
        <v>3</v>
      </c>
      <c r="O48" s="12">
        <v>4</v>
      </c>
      <c r="P48" s="12">
        <v>3</v>
      </c>
      <c r="Q48" s="12">
        <v>4</v>
      </c>
      <c r="R48" s="12">
        <v>4</v>
      </c>
      <c r="S48" s="12">
        <v>5</v>
      </c>
      <c r="T48" s="12">
        <v>5</v>
      </c>
      <c r="U48" s="12">
        <v>5</v>
      </c>
      <c r="V48" s="12">
        <v>5</v>
      </c>
      <c r="W48" s="12">
        <v>4</v>
      </c>
      <c r="X48" s="12">
        <v>3</v>
      </c>
      <c r="Y48" s="12">
        <v>4</v>
      </c>
      <c r="Z48" s="12">
        <v>3</v>
      </c>
      <c r="AA48" s="12">
        <v>4</v>
      </c>
      <c r="AB48" s="13">
        <f t="shared" si="3"/>
        <v>64</v>
      </c>
      <c r="AC48" s="29" t="s">
        <v>39</v>
      </c>
    </row>
    <row r="49" customFormat="1" ht="161" customHeight="1" spans="1:29">
      <c r="A49" s="23"/>
      <c r="B49" s="10" t="s">
        <v>285</v>
      </c>
      <c r="C49" s="11" t="s">
        <v>286</v>
      </c>
      <c r="D49" s="12">
        <v>5</v>
      </c>
      <c r="E49" s="12">
        <v>5</v>
      </c>
      <c r="F49" s="12">
        <v>5</v>
      </c>
      <c r="G49" s="12">
        <v>5</v>
      </c>
      <c r="H49" s="12">
        <v>5</v>
      </c>
      <c r="I49" s="12">
        <v>5</v>
      </c>
      <c r="J49" s="12">
        <v>5</v>
      </c>
      <c r="K49" s="13">
        <f t="shared" si="2"/>
        <v>35</v>
      </c>
      <c r="L49" s="12">
        <v>5</v>
      </c>
      <c r="M49" s="12">
        <v>5</v>
      </c>
      <c r="N49" s="12">
        <v>3</v>
      </c>
      <c r="O49" s="12">
        <v>5</v>
      </c>
      <c r="P49" s="12">
        <v>4</v>
      </c>
      <c r="Q49" s="12">
        <v>4</v>
      </c>
      <c r="R49" s="12">
        <v>5</v>
      </c>
      <c r="S49" s="12">
        <v>5</v>
      </c>
      <c r="T49" s="12">
        <v>4</v>
      </c>
      <c r="U49" s="12">
        <v>5</v>
      </c>
      <c r="V49" s="12">
        <v>5</v>
      </c>
      <c r="W49" s="12">
        <v>5</v>
      </c>
      <c r="X49" s="12">
        <v>4</v>
      </c>
      <c r="Y49" s="12">
        <v>4</v>
      </c>
      <c r="Z49" s="12">
        <v>3</v>
      </c>
      <c r="AA49" s="12">
        <v>4</v>
      </c>
      <c r="AB49" s="13">
        <f t="shared" si="3"/>
        <v>70</v>
      </c>
      <c r="AC49" s="29" t="s">
        <v>39</v>
      </c>
    </row>
    <row r="50" customFormat="1" ht="167" customHeight="1" spans="1:29">
      <c r="A50" s="23"/>
      <c r="B50" s="10" t="s">
        <v>287</v>
      </c>
      <c r="C50" s="11" t="s">
        <v>288</v>
      </c>
      <c r="D50" s="12">
        <v>5</v>
      </c>
      <c r="E50" s="12">
        <v>5</v>
      </c>
      <c r="F50" s="12">
        <v>5</v>
      </c>
      <c r="G50" s="12">
        <v>5</v>
      </c>
      <c r="H50" s="12">
        <v>5</v>
      </c>
      <c r="I50" s="12">
        <v>5</v>
      </c>
      <c r="J50" s="12">
        <v>5</v>
      </c>
      <c r="K50" s="13">
        <f t="shared" si="2"/>
        <v>35</v>
      </c>
      <c r="L50" s="12">
        <v>5</v>
      </c>
      <c r="M50" s="12">
        <v>5</v>
      </c>
      <c r="N50" s="12">
        <v>3</v>
      </c>
      <c r="O50" s="12">
        <v>5</v>
      </c>
      <c r="P50" s="12">
        <v>4</v>
      </c>
      <c r="Q50" s="12">
        <v>4</v>
      </c>
      <c r="R50" s="12">
        <v>5</v>
      </c>
      <c r="S50" s="12">
        <v>5</v>
      </c>
      <c r="T50" s="12">
        <v>5</v>
      </c>
      <c r="U50" s="12">
        <v>5</v>
      </c>
      <c r="V50" s="12">
        <v>5</v>
      </c>
      <c r="W50" s="12">
        <v>5</v>
      </c>
      <c r="X50" s="12">
        <v>3</v>
      </c>
      <c r="Y50" s="12">
        <v>4</v>
      </c>
      <c r="Z50" s="12">
        <v>3</v>
      </c>
      <c r="AA50" s="12">
        <v>4</v>
      </c>
      <c r="AB50" s="13">
        <f t="shared" si="3"/>
        <v>70</v>
      </c>
      <c r="AC50" s="29" t="s">
        <v>39</v>
      </c>
    </row>
    <row r="51" customFormat="1" ht="234" customHeight="1" spans="1:29">
      <c r="A51" s="23"/>
      <c r="B51" s="10" t="s">
        <v>289</v>
      </c>
      <c r="C51" s="11" t="s">
        <v>290</v>
      </c>
      <c r="D51" s="12">
        <v>5</v>
      </c>
      <c r="E51" s="12">
        <v>5</v>
      </c>
      <c r="F51" s="12">
        <v>4</v>
      </c>
      <c r="G51" s="12">
        <v>5</v>
      </c>
      <c r="H51" s="12">
        <v>5</v>
      </c>
      <c r="I51" s="12">
        <v>5</v>
      </c>
      <c r="J51" s="12">
        <v>5</v>
      </c>
      <c r="K51" s="13">
        <f t="shared" si="2"/>
        <v>34</v>
      </c>
      <c r="L51" s="12">
        <v>5</v>
      </c>
      <c r="M51" s="12">
        <v>5</v>
      </c>
      <c r="N51" s="12">
        <v>2</v>
      </c>
      <c r="O51" s="12">
        <v>5</v>
      </c>
      <c r="P51" s="12">
        <v>2</v>
      </c>
      <c r="Q51" s="12">
        <v>4</v>
      </c>
      <c r="R51" s="12">
        <v>4</v>
      </c>
      <c r="S51" s="12">
        <v>1</v>
      </c>
      <c r="T51" s="12">
        <v>5</v>
      </c>
      <c r="U51" s="12">
        <v>5</v>
      </c>
      <c r="V51" s="12">
        <v>4</v>
      </c>
      <c r="W51" s="12">
        <v>4</v>
      </c>
      <c r="X51" s="12">
        <v>2</v>
      </c>
      <c r="Y51" s="12">
        <v>4</v>
      </c>
      <c r="Z51" s="12">
        <v>3</v>
      </c>
      <c r="AA51" s="12">
        <v>3</v>
      </c>
      <c r="AB51" s="13">
        <f t="shared" si="3"/>
        <v>58</v>
      </c>
      <c r="AC51" s="29" t="s">
        <v>39</v>
      </c>
    </row>
    <row r="52" customFormat="1" ht="153" customHeight="1" spans="1:29">
      <c r="A52" s="23"/>
      <c r="B52" s="10" t="s">
        <v>291</v>
      </c>
      <c r="C52" s="11" t="s">
        <v>292</v>
      </c>
      <c r="D52" s="12">
        <v>5</v>
      </c>
      <c r="E52" s="12">
        <v>5</v>
      </c>
      <c r="F52" s="12">
        <v>4</v>
      </c>
      <c r="G52" s="12">
        <v>5</v>
      </c>
      <c r="H52" s="12">
        <v>5</v>
      </c>
      <c r="I52" s="12">
        <v>5</v>
      </c>
      <c r="J52" s="12">
        <v>5</v>
      </c>
      <c r="K52" s="13">
        <f t="shared" si="2"/>
        <v>34</v>
      </c>
      <c r="L52" s="12">
        <v>5</v>
      </c>
      <c r="M52" s="12">
        <v>5</v>
      </c>
      <c r="N52" s="12">
        <v>2</v>
      </c>
      <c r="O52" s="12">
        <v>4</v>
      </c>
      <c r="P52" s="12">
        <v>2</v>
      </c>
      <c r="Q52" s="12">
        <v>4</v>
      </c>
      <c r="R52" s="12">
        <v>4</v>
      </c>
      <c r="S52" s="12">
        <v>5</v>
      </c>
      <c r="T52" s="12">
        <v>5</v>
      </c>
      <c r="U52" s="12">
        <v>5</v>
      </c>
      <c r="V52" s="12">
        <v>5</v>
      </c>
      <c r="W52" s="12">
        <v>4</v>
      </c>
      <c r="X52" s="12">
        <v>3</v>
      </c>
      <c r="Y52" s="12">
        <v>4</v>
      </c>
      <c r="Z52" s="12">
        <v>3</v>
      </c>
      <c r="AA52" s="12">
        <v>4</v>
      </c>
      <c r="AB52" s="13">
        <f t="shared" si="3"/>
        <v>64</v>
      </c>
      <c r="AC52" s="28" t="s">
        <v>30</v>
      </c>
    </row>
    <row r="53" customFormat="1" spans="1:29">
      <c r="A53" s="23"/>
      <c r="B53" s="10"/>
      <c r="C53" s="11"/>
      <c r="D53" s="14">
        <f>AVERAGE(D3:D52)</f>
        <v>4.94</v>
      </c>
      <c r="E53" s="14">
        <f t="shared" ref="E53:AB53" si="4">AVERAGE(E3:E52)</f>
        <v>5</v>
      </c>
      <c r="F53" s="14">
        <f t="shared" si="4"/>
        <v>4.66</v>
      </c>
      <c r="G53" s="14">
        <f t="shared" si="4"/>
        <v>5</v>
      </c>
      <c r="H53" s="14">
        <f t="shared" si="4"/>
        <v>5</v>
      </c>
      <c r="I53" s="14">
        <f t="shared" si="4"/>
        <v>5</v>
      </c>
      <c r="J53" s="14">
        <f t="shared" si="4"/>
        <v>4.96</v>
      </c>
      <c r="K53" s="14">
        <f t="shared" si="4"/>
        <v>34.56</v>
      </c>
      <c r="L53" s="14">
        <f t="shared" si="4"/>
        <v>4.92</v>
      </c>
      <c r="M53" s="14">
        <f t="shared" si="4"/>
        <v>4.84</v>
      </c>
      <c r="N53" s="14">
        <f t="shared" si="4"/>
        <v>2.68</v>
      </c>
      <c r="O53" s="14">
        <f t="shared" si="4"/>
        <v>4.74</v>
      </c>
      <c r="P53" s="14">
        <f t="shared" si="4"/>
        <v>2.72</v>
      </c>
      <c r="Q53" s="14">
        <f t="shared" si="4"/>
        <v>4.32</v>
      </c>
      <c r="R53" s="14">
        <f t="shared" si="4"/>
        <v>4.14</v>
      </c>
      <c r="S53" s="14">
        <f t="shared" si="4"/>
        <v>4.44</v>
      </c>
      <c r="T53" s="14">
        <f t="shared" si="4"/>
        <v>4.98</v>
      </c>
      <c r="U53" s="14">
        <f t="shared" si="4"/>
        <v>4.94</v>
      </c>
      <c r="V53" s="14">
        <f t="shared" si="4"/>
        <v>4.96</v>
      </c>
      <c r="W53" s="14">
        <f t="shared" si="4"/>
        <v>4.06</v>
      </c>
      <c r="X53" s="14">
        <f t="shared" si="4"/>
        <v>2.58</v>
      </c>
      <c r="Y53" s="14">
        <f t="shared" si="4"/>
        <v>3.9</v>
      </c>
      <c r="Z53" s="14">
        <f t="shared" si="4"/>
        <v>3</v>
      </c>
      <c r="AA53" s="14">
        <f t="shared" si="4"/>
        <v>3.92</v>
      </c>
      <c r="AB53" s="14">
        <f t="shared" si="4"/>
        <v>65.14</v>
      </c>
      <c r="AC53" s="14" t="s">
        <v>293</v>
      </c>
    </row>
    <row r="54" customFormat="1" spans="1:29">
      <c r="A54" s="23"/>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t="s">
        <v>135</v>
      </c>
    </row>
    <row r="55" customFormat="1" spans="1:29">
      <c r="A55" s="23"/>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t="s">
        <v>294</v>
      </c>
    </row>
    <row r="56" customFormat="1" spans="1:29">
      <c r="A56" s="23"/>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t="s">
        <v>295</v>
      </c>
    </row>
    <row r="57" customFormat="1" spans="1:29">
      <c r="A57" s="23"/>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t="s">
        <v>191</v>
      </c>
    </row>
    <row r="58" customFormat="1" spans="1:29">
      <c r="A58" s="23"/>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t="s">
        <v>139</v>
      </c>
    </row>
    <row r="59" customFormat="1" spans="1:29">
      <c r="A59" s="23"/>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customFormat="1" spans="1:29">
      <c r="A60" s="23"/>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customFormat="1" spans="1:29">
      <c r="A61" s="23"/>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customFormat="1" spans="1:29">
      <c r="A62" s="23"/>
      <c r="B62" s="10"/>
      <c r="C62" s="11"/>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row r="63" customFormat="1" spans="1:29">
      <c r="A63" s="23"/>
      <c r="B63" s="10"/>
      <c r="C63" s="11"/>
      <c r="D63" s="14"/>
      <c r="E63" s="14"/>
      <c r="F63" s="14"/>
      <c r="G63" s="14"/>
      <c r="H63" s="14"/>
      <c r="I63" s="14"/>
      <c r="J63" s="14"/>
      <c r="K63" s="13"/>
      <c r="L63" s="14"/>
      <c r="M63" s="14"/>
      <c r="N63" s="14"/>
      <c r="O63" s="14"/>
      <c r="P63" s="14"/>
      <c r="Q63" s="14"/>
      <c r="R63" s="14"/>
      <c r="S63" s="14"/>
      <c r="T63" s="14"/>
      <c r="U63" s="14"/>
      <c r="V63" s="14"/>
      <c r="W63" s="14"/>
      <c r="X63" s="14"/>
      <c r="Y63" s="14"/>
      <c r="Z63" s="14"/>
      <c r="AA63" s="14"/>
      <c r="AB63" s="13"/>
      <c r="AC63" s="14"/>
    </row>
    <row r="64" customFormat="1" spans="1:29">
      <c r="A64" s="23"/>
      <c r="B64" s="10"/>
      <c r="C64" s="11"/>
      <c r="D64" s="14"/>
      <c r="E64" s="14"/>
      <c r="F64" s="14"/>
      <c r="G64" s="14"/>
      <c r="H64" s="14"/>
      <c r="I64" s="14"/>
      <c r="J64" s="14"/>
      <c r="K64" s="13"/>
      <c r="L64" s="14"/>
      <c r="M64" s="14"/>
      <c r="N64" s="14"/>
      <c r="O64" s="14"/>
      <c r="P64" s="14"/>
      <c r="Q64" s="14"/>
      <c r="R64" s="14"/>
      <c r="S64" s="14"/>
      <c r="T64" s="14"/>
      <c r="U64" s="14"/>
      <c r="V64" s="14"/>
      <c r="W64" s="14"/>
      <c r="X64" s="14"/>
      <c r="Y64" s="14"/>
      <c r="Z64" s="14"/>
      <c r="AA64" s="14"/>
      <c r="AB64" s="13"/>
      <c r="AC64" s="14"/>
    </row>
    <row r="65" customFormat="1" spans="1:29">
      <c r="A65" s="23"/>
      <c r="B65" s="10"/>
      <c r="C65" s="11"/>
      <c r="D65" s="14"/>
      <c r="E65" s="14"/>
      <c r="F65" s="14"/>
      <c r="G65" s="14"/>
      <c r="H65" s="14"/>
      <c r="I65" s="14"/>
      <c r="J65" s="14"/>
      <c r="K65" s="13"/>
      <c r="L65" s="14"/>
      <c r="M65" s="14"/>
      <c r="N65" s="14"/>
      <c r="O65" s="14"/>
      <c r="P65" s="14"/>
      <c r="Q65" s="14"/>
      <c r="R65" s="14"/>
      <c r="S65" s="14"/>
      <c r="T65" s="14"/>
      <c r="U65" s="14"/>
      <c r="V65" s="14"/>
      <c r="W65" s="14"/>
      <c r="X65" s="14"/>
      <c r="Y65" s="14"/>
      <c r="Z65" s="14"/>
      <c r="AA65" s="14"/>
      <c r="AB65" s="13"/>
      <c r="AC65" s="14"/>
    </row>
    <row r="66" customFormat="1" spans="1:29">
      <c r="A66" s="23"/>
      <c r="B66" s="10"/>
      <c r="C66" s="11"/>
      <c r="D66" s="14"/>
      <c r="E66" s="14"/>
      <c r="F66" s="14"/>
      <c r="G66" s="14"/>
      <c r="H66" s="14"/>
      <c r="I66" s="14"/>
      <c r="J66" s="14"/>
      <c r="K66" s="13"/>
      <c r="L66" s="14"/>
      <c r="M66" s="14"/>
      <c r="N66" s="14"/>
      <c r="O66" s="14"/>
      <c r="P66" s="14"/>
      <c r="Q66" s="14"/>
      <c r="R66" s="14"/>
      <c r="S66" s="14"/>
      <c r="T66" s="14"/>
      <c r="U66" s="14"/>
      <c r="V66" s="14"/>
      <c r="W66" s="14"/>
      <c r="X66" s="14"/>
      <c r="Y66" s="14"/>
      <c r="Z66" s="14"/>
      <c r="AA66" s="14"/>
      <c r="AB66" s="13"/>
      <c r="AC66" s="14"/>
    </row>
    <row r="67" customFormat="1" spans="1:29">
      <c r="A67" s="23"/>
      <c r="B67" s="10"/>
      <c r="C67" s="11"/>
      <c r="D67" s="14"/>
      <c r="E67" s="14"/>
      <c r="F67" s="14"/>
      <c r="G67" s="14"/>
      <c r="H67" s="14"/>
      <c r="I67" s="14"/>
      <c r="J67" s="14"/>
      <c r="K67" s="13"/>
      <c r="L67" s="14"/>
      <c r="M67" s="14"/>
      <c r="N67" s="14"/>
      <c r="O67" s="14"/>
      <c r="P67" s="14"/>
      <c r="Q67" s="14"/>
      <c r="R67" s="14"/>
      <c r="S67" s="14"/>
      <c r="T67" s="14"/>
      <c r="U67" s="14"/>
      <c r="V67" s="14"/>
      <c r="W67" s="14"/>
      <c r="X67" s="14"/>
      <c r="Y67" s="14"/>
      <c r="Z67" s="14"/>
      <c r="AA67" s="14"/>
      <c r="AB67" s="13"/>
      <c r="AC67" s="14"/>
    </row>
    <row r="68" customFormat="1" spans="1:29">
      <c r="A68" s="23"/>
      <c r="B68" s="10"/>
      <c r="C68" s="11"/>
      <c r="D68" s="14"/>
      <c r="E68" s="14"/>
      <c r="F68" s="14"/>
      <c r="G68" s="14"/>
      <c r="H68" s="14"/>
      <c r="I68" s="14"/>
      <c r="J68" s="14"/>
      <c r="K68" s="13"/>
      <c r="L68" s="14"/>
      <c r="M68" s="14"/>
      <c r="N68" s="14"/>
      <c r="O68" s="14"/>
      <c r="P68" s="14"/>
      <c r="Q68" s="14"/>
      <c r="R68" s="14"/>
      <c r="S68" s="14"/>
      <c r="T68" s="14"/>
      <c r="U68" s="14"/>
      <c r="V68" s="14"/>
      <c r="W68" s="14"/>
      <c r="X68" s="14"/>
      <c r="Y68" s="14"/>
      <c r="Z68" s="14"/>
      <c r="AA68" s="14"/>
      <c r="AB68" s="13"/>
      <c r="AC68" s="14"/>
    </row>
    <row r="69" customFormat="1" spans="1:29">
      <c r="A69" s="23"/>
      <c r="B69" s="10"/>
      <c r="C69" s="11"/>
      <c r="D69" s="14"/>
      <c r="E69" s="14"/>
      <c r="F69" s="14"/>
      <c r="G69" s="14"/>
      <c r="H69" s="14"/>
      <c r="I69" s="14"/>
      <c r="J69" s="14"/>
      <c r="K69" s="13"/>
      <c r="L69" s="14"/>
      <c r="M69" s="14"/>
      <c r="N69" s="14"/>
      <c r="O69" s="14"/>
      <c r="P69" s="14"/>
      <c r="Q69" s="14"/>
      <c r="R69" s="14"/>
      <c r="S69" s="14"/>
      <c r="T69" s="14"/>
      <c r="U69" s="14"/>
      <c r="V69" s="14"/>
      <c r="W69" s="14"/>
      <c r="X69" s="14"/>
      <c r="Y69" s="14"/>
      <c r="Z69" s="14"/>
      <c r="AA69" s="14"/>
      <c r="AB69" s="13"/>
      <c r="AC69" s="14"/>
    </row>
    <row r="70" customFormat="1" spans="1:29">
      <c r="A70" s="23"/>
      <c r="B70" s="10"/>
      <c r="C70" s="11"/>
      <c r="D70" s="14"/>
      <c r="E70" s="14"/>
      <c r="F70" s="14"/>
      <c r="G70" s="14"/>
      <c r="H70" s="14"/>
      <c r="I70" s="14"/>
      <c r="J70" s="14"/>
      <c r="K70" s="13"/>
      <c r="L70" s="14"/>
      <c r="M70" s="14"/>
      <c r="N70" s="14"/>
      <c r="O70" s="14"/>
      <c r="P70" s="14"/>
      <c r="Q70" s="14"/>
      <c r="R70" s="14"/>
      <c r="S70" s="14"/>
      <c r="T70" s="14"/>
      <c r="U70" s="14"/>
      <c r="V70" s="14"/>
      <c r="W70" s="14"/>
      <c r="X70" s="14"/>
      <c r="Y70" s="14"/>
      <c r="Z70" s="14"/>
      <c r="AA70" s="14"/>
      <c r="AB70" s="13"/>
      <c r="AC70" s="14"/>
    </row>
    <row r="71" customFormat="1" spans="1:29">
      <c r="A71" s="23"/>
      <c r="B71" s="10"/>
      <c r="C71" s="11"/>
      <c r="D71" s="14"/>
      <c r="E71" s="14"/>
      <c r="F71" s="14"/>
      <c r="G71" s="14"/>
      <c r="H71" s="14"/>
      <c r="I71" s="14"/>
      <c r="J71" s="14"/>
      <c r="K71" s="13"/>
      <c r="L71" s="14"/>
      <c r="M71" s="14"/>
      <c r="N71" s="14"/>
      <c r="O71" s="14"/>
      <c r="P71" s="14"/>
      <c r="Q71" s="14"/>
      <c r="R71" s="14"/>
      <c r="S71" s="14"/>
      <c r="T71" s="14"/>
      <c r="U71" s="14"/>
      <c r="V71" s="14"/>
      <c r="W71" s="14"/>
      <c r="X71" s="14"/>
      <c r="Y71" s="14"/>
      <c r="Z71" s="14"/>
      <c r="AA71" s="14"/>
      <c r="AB71" s="13"/>
      <c r="AC71" s="14"/>
    </row>
    <row r="72" customFormat="1" spans="1:29">
      <c r="A72" s="23"/>
      <c r="B72" s="10"/>
      <c r="C72" s="11"/>
      <c r="D72" s="14"/>
      <c r="E72" s="14"/>
      <c r="F72" s="14"/>
      <c r="G72" s="14"/>
      <c r="H72" s="14"/>
      <c r="I72" s="14"/>
      <c r="J72" s="14"/>
      <c r="K72" s="13"/>
      <c r="L72" s="14"/>
      <c r="M72" s="14"/>
      <c r="N72" s="14"/>
      <c r="O72" s="14"/>
      <c r="P72" s="14"/>
      <c r="Q72" s="14"/>
      <c r="R72" s="14"/>
      <c r="S72" s="14"/>
      <c r="T72" s="14"/>
      <c r="U72" s="14"/>
      <c r="V72" s="14"/>
      <c r="W72" s="14"/>
      <c r="X72" s="14"/>
      <c r="Y72" s="14"/>
      <c r="Z72" s="14"/>
      <c r="AA72" s="14"/>
      <c r="AB72" s="13"/>
      <c r="AC72" s="14"/>
    </row>
    <row r="73" customFormat="1" spans="1:29">
      <c r="A73" s="23"/>
      <c r="B73" s="10"/>
      <c r="C73" s="11"/>
      <c r="D73" s="14"/>
      <c r="E73" s="14"/>
      <c r="F73" s="14"/>
      <c r="G73" s="14"/>
      <c r="H73" s="14"/>
      <c r="I73" s="14"/>
      <c r="J73" s="14"/>
      <c r="K73" s="13"/>
      <c r="L73" s="14"/>
      <c r="M73" s="14"/>
      <c r="N73" s="14"/>
      <c r="O73" s="14"/>
      <c r="P73" s="14"/>
      <c r="Q73" s="14"/>
      <c r="R73" s="14"/>
      <c r="S73" s="14"/>
      <c r="T73" s="14"/>
      <c r="U73" s="14"/>
      <c r="V73" s="14"/>
      <c r="W73" s="14"/>
      <c r="X73" s="14"/>
      <c r="Y73" s="14"/>
      <c r="Z73" s="14"/>
      <c r="AA73" s="14"/>
      <c r="AB73" s="13"/>
      <c r="AC73" s="14"/>
    </row>
    <row r="74" customFormat="1" spans="1:29">
      <c r="A74" s="23"/>
      <c r="B74" s="10"/>
      <c r="C74" s="11"/>
      <c r="D74" s="14"/>
      <c r="E74" s="14"/>
      <c r="F74" s="14"/>
      <c r="G74" s="14"/>
      <c r="H74" s="14"/>
      <c r="I74" s="14"/>
      <c r="J74" s="14"/>
      <c r="K74" s="13"/>
      <c r="L74" s="14"/>
      <c r="M74" s="14"/>
      <c r="N74" s="14"/>
      <c r="O74" s="14"/>
      <c r="P74" s="14"/>
      <c r="Q74" s="14"/>
      <c r="R74" s="14"/>
      <c r="S74" s="14"/>
      <c r="T74" s="14"/>
      <c r="U74" s="14"/>
      <c r="V74" s="14"/>
      <c r="W74" s="14"/>
      <c r="X74" s="14"/>
      <c r="Y74" s="14"/>
      <c r="Z74" s="14"/>
      <c r="AA74" s="14"/>
      <c r="AB74" s="13"/>
      <c r="AC74" s="14"/>
    </row>
    <row r="75" customFormat="1" spans="1:29">
      <c r="A75" s="23"/>
      <c r="B75" s="10"/>
      <c r="C75" s="11"/>
      <c r="D75" s="14"/>
      <c r="E75" s="14"/>
      <c r="F75" s="14"/>
      <c r="G75" s="14"/>
      <c r="H75" s="14"/>
      <c r="I75" s="14"/>
      <c r="J75" s="14"/>
      <c r="K75" s="13"/>
      <c r="L75" s="14"/>
      <c r="M75" s="14"/>
      <c r="N75" s="14"/>
      <c r="O75" s="14"/>
      <c r="P75" s="14"/>
      <c r="Q75" s="14"/>
      <c r="R75" s="14"/>
      <c r="S75" s="14"/>
      <c r="T75" s="14"/>
      <c r="U75" s="14"/>
      <c r="V75" s="14"/>
      <c r="W75" s="14"/>
      <c r="X75" s="14"/>
      <c r="Y75" s="14"/>
      <c r="Z75" s="14"/>
      <c r="AA75" s="14"/>
      <c r="AB75" s="13"/>
      <c r="AC75" s="14"/>
    </row>
    <row r="76" customFormat="1" spans="1:29">
      <c r="A76" s="23"/>
      <c r="B76" s="10"/>
      <c r="C76" s="11"/>
      <c r="D76" s="14"/>
      <c r="E76" s="14"/>
      <c r="F76" s="14"/>
      <c r="G76" s="14"/>
      <c r="H76" s="14"/>
      <c r="I76" s="14"/>
      <c r="J76" s="14"/>
      <c r="K76" s="13"/>
      <c r="L76" s="14"/>
      <c r="M76" s="14"/>
      <c r="N76" s="14"/>
      <c r="O76" s="14"/>
      <c r="P76" s="14"/>
      <c r="Q76" s="14"/>
      <c r="R76" s="14"/>
      <c r="S76" s="14"/>
      <c r="T76" s="14"/>
      <c r="U76" s="14"/>
      <c r="V76" s="14"/>
      <c r="W76" s="14"/>
      <c r="X76" s="14"/>
      <c r="Y76" s="14"/>
      <c r="Z76" s="14"/>
      <c r="AA76" s="14"/>
      <c r="AB76" s="13"/>
      <c r="AC76" s="14"/>
    </row>
    <row r="77" customFormat="1" spans="1:29">
      <c r="A77" s="23"/>
      <c r="B77" s="10"/>
      <c r="C77" s="11"/>
      <c r="D77" s="14"/>
      <c r="E77" s="14"/>
      <c r="F77" s="14"/>
      <c r="G77" s="14"/>
      <c r="H77" s="14"/>
      <c r="I77" s="14"/>
      <c r="J77" s="14"/>
      <c r="K77" s="13"/>
      <c r="L77" s="14"/>
      <c r="M77" s="14"/>
      <c r="N77" s="14"/>
      <c r="O77" s="14"/>
      <c r="P77" s="14"/>
      <c r="Q77" s="14"/>
      <c r="R77" s="14"/>
      <c r="S77" s="14"/>
      <c r="T77" s="14"/>
      <c r="U77" s="14"/>
      <c r="V77" s="14"/>
      <c r="W77" s="14"/>
      <c r="X77" s="14"/>
      <c r="Y77" s="14"/>
      <c r="Z77" s="14"/>
      <c r="AA77" s="14"/>
      <c r="AB77" s="13"/>
      <c r="AC77" s="14"/>
    </row>
    <row r="78" customFormat="1" spans="1:29">
      <c r="A78" s="23"/>
      <c r="B78" s="10"/>
      <c r="C78" s="11"/>
      <c r="D78" s="14"/>
      <c r="E78" s="14"/>
      <c r="F78" s="14"/>
      <c r="G78" s="14"/>
      <c r="H78" s="14"/>
      <c r="I78" s="14"/>
      <c r="J78" s="14"/>
      <c r="K78" s="13"/>
      <c r="L78" s="14"/>
      <c r="M78" s="14"/>
      <c r="N78" s="14"/>
      <c r="O78" s="14"/>
      <c r="P78" s="14"/>
      <c r="Q78" s="14"/>
      <c r="R78" s="14"/>
      <c r="S78" s="14"/>
      <c r="T78" s="14"/>
      <c r="U78" s="14"/>
      <c r="V78" s="14"/>
      <c r="W78" s="14"/>
      <c r="X78" s="14"/>
      <c r="Y78" s="14"/>
      <c r="Z78" s="14"/>
      <c r="AA78" s="14"/>
      <c r="AB78" s="13"/>
      <c r="AC78" s="14"/>
    </row>
    <row r="79" customFormat="1" spans="1:29">
      <c r="A79" s="23"/>
      <c r="B79" s="10"/>
      <c r="C79" s="11"/>
      <c r="D79" s="14"/>
      <c r="E79" s="14"/>
      <c r="F79" s="14"/>
      <c r="G79" s="14"/>
      <c r="H79" s="14"/>
      <c r="I79" s="14"/>
      <c r="J79" s="14"/>
      <c r="K79" s="13"/>
      <c r="L79" s="14"/>
      <c r="M79" s="14"/>
      <c r="N79" s="14"/>
      <c r="O79" s="14"/>
      <c r="P79" s="14"/>
      <c r="Q79" s="14"/>
      <c r="R79" s="14"/>
      <c r="S79" s="14"/>
      <c r="T79" s="14"/>
      <c r="U79" s="14"/>
      <c r="V79" s="14"/>
      <c r="W79" s="14"/>
      <c r="X79" s="14"/>
      <c r="Y79" s="14"/>
      <c r="Z79" s="14"/>
      <c r="AA79" s="14"/>
      <c r="AB79" s="13"/>
      <c r="AC79" s="14"/>
    </row>
    <row r="80" customFormat="1" spans="1:29">
      <c r="A80" s="23"/>
      <c r="B80" s="10"/>
      <c r="C80" s="11"/>
      <c r="D80" s="14"/>
      <c r="E80" s="14"/>
      <c r="F80" s="14"/>
      <c r="G80" s="14"/>
      <c r="H80" s="14"/>
      <c r="I80" s="14"/>
      <c r="J80" s="14"/>
      <c r="K80" s="13"/>
      <c r="L80" s="14"/>
      <c r="M80" s="14"/>
      <c r="N80" s="14"/>
      <c r="O80" s="14"/>
      <c r="P80" s="14"/>
      <c r="Q80" s="14"/>
      <c r="R80" s="14"/>
      <c r="S80" s="14"/>
      <c r="T80" s="14"/>
      <c r="U80" s="14"/>
      <c r="V80" s="14"/>
      <c r="W80" s="14"/>
      <c r="X80" s="14"/>
      <c r="Y80" s="14"/>
      <c r="Z80" s="14"/>
      <c r="AA80" s="14"/>
      <c r="AB80" s="13"/>
      <c r="AC80" s="14"/>
    </row>
    <row r="81" customFormat="1" spans="1:29">
      <c r="A81" s="23"/>
      <c r="B81" s="10"/>
      <c r="C81" s="11"/>
      <c r="D81" s="14"/>
      <c r="E81" s="14"/>
      <c r="F81" s="14"/>
      <c r="G81" s="14"/>
      <c r="H81" s="14"/>
      <c r="I81" s="14"/>
      <c r="J81" s="14"/>
      <c r="K81" s="13"/>
      <c r="L81" s="14"/>
      <c r="M81" s="14"/>
      <c r="N81" s="14"/>
      <c r="O81" s="14"/>
      <c r="P81" s="14"/>
      <c r="Q81" s="14"/>
      <c r="R81" s="14"/>
      <c r="S81" s="14"/>
      <c r="T81" s="14"/>
      <c r="U81" s="14"/>
      <c r="V81" s="14"/>
      <c r="W81" s="14"/>
      <c r="X81" s="14"/>
      <c r="Y81" s="14"/>
      <c r="Z81" s="14"/>
      <c r="AA81" s="14"/>
      <c r="AB81" s="13"/>
      <c r="AC81" s="14"/>
    </row>
    <row r="82" customFormat="1" spans="1:29">
      <c r="A82" s="23"/>
      <c r="B82" s="10"/>
      <c r="C82" s="11"/>
      <c r="D82" s="14"/>
      <c r="E82" s="14"/>
      <c r="F82" s="14"/>
      <c r="G82" s="14"/>
      <c r="H82" s="14"/>
      <c r="I82" s="14"/>
      <c r="J82" s="14"/>
      <c r="K82" s="13"/>
      <c r="L82" s="14"/>
      <c r="M82" s="14"/>
      <c r="N82" s="14"/>
      <c r="O82" s="14"/>
      <c r="P82" s="14"/>
      <c r="Q82" s="14"/>
      <c r="R82" s="14"/>
      <c r="S82" s="14"/>
      <c r="T82" s="14"/>
      <c r="U82" s="14"/>
      <c r="V82" s="14"/>
      <c r="W82" s="14"/>
      <c r="X82" s="14"/>
      <c r="Y82" s="14"/>
      <c r="Z82" s="14"/>
      <c r="AA82" s="14"/>
      <c r="AB82" s="13"/>
      <c r="AC82" s="14"/>
    </row>
    <row r="83" customFormat="1" spans="1:29">
      <c r="A83" s="23"/>
      <c r="B83" s="10"/>
      <c r="C83" s="11"/>
      <c r="D83" s="14"/>
      <c r="E83" s="14"/>
      <c r="F83" s="14"/>
      <c r="G83" s="14"/>
      <c r="H83" s="14"/>
      <c r="I83" s="14"/>
      <c r="J83" s="14"/>
      <c r="K83" s="13"/>
      <c r="L83" s="14"/>
      <c r="M83" s="14"/>
      <c r="N83" s="14"/>
      <c r="O83" s="14"/>
      <c r="P83" s="14"/>
      <c r="Q83" s="14"/>
      <c r="R83" s="14"/>
      <c r="S83" s="14"/>
      <c r="T83" s="14"/>
      <c r="U83" s="14"/>
      <c r="V83" s="14"/>
      <c r="W83" s="14"/>
      <c r="X83" s="14"/>
      <c r="Y83" s="14"/>
      <c r="Z83" s="14"/>
      <c r="AA83" s="14"/>
      <c r="AB83" s="13"/>
      <c r="AC83" s="14"/>
    </row>
    <row r="84" customFormat="1" spans="1:29">
      <c r="A84" s="23"/>
      <c r="B84" s="10"/>
      <c r="C84" s="11"/>
      <c r="D84" s="14"/>
      <c r="E84" s="14"/>
      <c r="F84" s="14"/>
      <c r="G84" s="14"/>
      <c r="H84" s="14"/>
      <c r="I84" s="14"/>
      <c r="J84" s="14"/>
      <c r="K84" s="13"/>
      <c r="L84" s="14"/>
      <c r="M84" s="14"/>
      <c r="N84" s="14"/>
      <c r="O84" s="14"/>
      <c r="P84" s="14"/>
      <c r="Q84" s="14"/>
      <c r="R84" s="14"/>
      <c r="S84" s="14"/>
      <c r="T84" s="14"/>
      <c r="U84" s="14"/>
      <c r="V84" s="14"/>
      <c r="W84" s="14"/>
      <c r="X84" s="14"/>
      <c r="Y84" s="14"/>
      <c r="Z84" s="14"/>
      <c r="AA84" s="14"/>
      <c r="AB84" s="13"/>
      <c r="AC84" s="14"/>
    </row>
    <row r="85" customFormat="1" spans="1:29">
      <c r="A85" s="23"/>
      <c r="B85" s="10"/>
      <c r="C85" s="11"/>
      <c r="D85" s="14"/>
      <c r="E85" s="14"/>
      <c r="F85" s="14"/>
      <c r="G85" s="14"/>
      <c r="H85" s="14"/>
      <c r="I85" s="14"/>
      <c r="J85" s="14"/>
      <c r="K85" s="13"/>
      <c r="L85" s="14"/>
      <c r="M85" s="14"/>
      <c r="N85" s="14"/>
      <c r="O85" s="14"/>
      <c r="P85" s="14"/>
      <c r="Q85" s="14"/>
      <c r="R85" s="14"/>
      <c r="S85" s="14"/>
      <c r="T85" s="14"/>
      <c r="U85" s="14"/>
      <c r="V85" s="14"/>
      <c r="W85" s="14"/>
      <c r="X85" s="14"/>
      <c r="Y85" s="14"/>
      <c r="Z85" s="14"/>
      <c r="AA85" s="14"/>
      <c r="AB85" s="13"/>
      <c r="AC85" s="14"/>
    </row>
    <row r="86" customFormat="1" spans="1:29">
      <c r="A86" s="23"/>
      <c r="B86" s="10"/>
      <c r="C86" s="11"/>
      <c r="D86" s="14"/>
      <c r="E86" s="14"/>
      <c r="F86" s="14"/>
      <c r="G86" s="14"/>
      <c r="H86" s="14"/>
      <c r="I86" s="14"/>
      <c r="J86" s="14"/>
      <c r="K86" s="13"/>
      <c r="L86" s="14"/>
      <c r="M86" s="14"/>
      <c r="N86" s="14"/>
      <c r="O86" s="14"/>
      <c r="P86" s="14"/>
      <c r="Q86" s="14"/>
      <c r="R86" s="14"/>
      <c r="S86" s="14"/>
      <c r="T86" s="14"/>
      <c r="U86" s="14"/>
      <c r="V86" s="14"/>
      <c r="W86" s="14"/>
      <c r="X86" s="14"/>
      <c r="Y86" s="14"/>
      <c r="Z86" s="14"/>
      <c r="AA86" s="14"/>
      <c r="AB86" s="13"/>
      <c r="AC86" s="14"/>
    </row>
    <row r="87" customFormat="1" spans="1:29">
      <c r="A87" s="23"/>
      <c r="B87" s="10"/>
      <c r="C87" s="11"/>
      <c r="D87" s="14"/>
      <c r="E87" s="14"/>
      <c r="F87" s="14"/>
      <c r="G87" s="14"/>
      <c r="H87" s="14"/>
      <c r="I87" s="14"/>
      <c r="J87" s="14"/>
      <c r="K87" s="13"/>
      <c r="L87" s="14"/>
      <c r="M87" s="14"/>
      <c r="N87" s="14"/>
      <c r="O87" s="14"/>
      <c r="P87" s="14"/>
      <c r="Q87" s="14"/>
      <c r="R87" s="14"/>
      <c r="S87" s="14"/>
      <c r="T87" s="14"/>
      <c r="U87" s="14"/>
      <c r="V87" s="14"/>
      <c r="W87" s="14"/>
      <c r="X87" s="14"/>
      <c r="Y87" s="14"/>
      <c r="Z87" s="14"/>
      <c r="AA87" s="14"/>
      <c r="AB87" s="13"/>
      <c r="AC87" s="14"/>
    </row>
    <row r="88" customFormat="1" spans="1:29">
      <c r="A88" s="23"/>
      <c r="B88" s="10"/>
      <c r="C88" s="11"/>
      <c r="D88" s="14"/>
      <c r="E88" s="14"/>
      <c r="F88" s="14"/>
      <c r="G88" s="14"/>
      <c r="H88" s="14"/>
      <c r="I88" s="14"/>
      <c r="J88" s="14"/>
      <c r="K88" s="13"/>
      <c r="L88" s="14"/>
      <c r="M88" s="14"/>
      <c r="N88" s="14"/>
      <c r="O88" s="14"/>
      <c r="P88" s="14"/>
      <c r="Q88" s="14"/>
      <c r="R88" s="14"/>
      <c r="S88" s="14"/>
      <c r="T88" s="14"/>
      <c r="U88" s="14"/>
      <c r="V88" s="14"/>
      <c r="W88" s="14"/>
      <c r="X88" s="14"/>
      <c r="Y88" s="14"/>
      <c r="Z88" s="14"/>
      <c r="AA88" s="14"/>
      <c r="AB88" s="13"/>
      <c r="AC88" s="14"/>
    </row>
    <row r="89" customFormat="1" spans="1:29">
      <c r="A89" s="23"/>
      <c r="B89" s="10"/>
      <c r="C89" s="11"/>
      <c r="D89" s="14"/>
      <c r="E89" s="14"/>
      <c r="F89" s="14"/>
      <c r="G89" s="14"/>
      <c r="H89" s="14"/>
      <c r="I89" s="14"/>
      <c r="J89" s="14"/>
      <c r="K89" s="13"/>
      <c r="L89" s="14"/>
      <c r="M89" s="14"/>
      <c r="N89" s="14"/>
      <c r="O89" s="14"/>
      <c r="P89" s="14"/>
      <c r="Q89" s="14"/>
      <c r="R89" s="14"/>
      <c r="S89" s="14"/>
      <c r="T89" s="14"/>
      <c r="U89" s="14"/>
      <c r="V89" s="14"/>
      <c r="W89" s="14"/>
      <c r="X89" s="14"/>
      <c r="Y89" s="14"/>
      <c r="Z89" s="14"/>
      <c r="AA89" s="14"/>
      <c r="AB89" s="13"/>
      <c r="AC89" s="14"/>
    </row>
    <row r="90" customFormat="1" spans="1:29">
      <c r="A90" s="23"/>
      <c r="B90" s="10"/>
      <c r="C90" s="11"/>
      <c r="D90" s="14"/>
      <c r="E90" s="14"/>
      <c r="F90" s="14"/>
      <c r="G90" s="14"/>
      <c r="H90" s="14"/>
      <c r="I90" s="14"/>
      <c r="J90" s="14"/>
      <c r="K90" s="13"/>
      <c r="L90" s="14"/>
      <c r="M90" s="14"/>
      <c r="N90" s="14"/>
      <c r="O90" s="14"/>
      <c r="P90" s="14"/>
      <c r="Q90" s="14"/>
      <c r="R90" s="14"/>
      <c r="S90" s="14"/>
      <c r="T90" s="14"/>
      <c r="U90" s="14"/>
      <c r="V90" s="14"/>
      <c r="W90" s="14"/>
      <c r="X90" s="14"/>
      <c r="Y90" s="14"/>
      <c r="Z90" s="14"/>
      <c r="AA90" s="14"/>
      <c r="AB90" s="13"/>
      <c r="AC90" s="14"/>
    </row>
    <row r="91" customFormat="1" spans="1:29">
      <c r="A91" s="23"/>
      <c r="B91" s="10"/>
      <c r="C91" s="11"/>
      <c r="D91" s="14"/>
      <c r="E91" s="14"/>
      <c r="F91" s="14"/>
      <c r="G91" s="14"/>
      <c r="H91" s="14"/>
      <c r="I91" s="14"/>
      <c r="J91" s="14"/>
      <c r="K91" s="13"/>
      <c r="L91" s="14"/>
      <c r="M91" s="14"/>
      <c r="N91" s="14"/>
      <c r="O91" s="14"/>
      <c r="P91" s="14"/>
      <c r="Q91" s="14"/>
      <c r="R91" s="14"/>
      <c r="S91" s="14"/>
      <c r="T91" s="14"/>
      <c r="U91" s="14"/>
      <c r="V91" s="14"/>
      <c r="W91" s="14"/>
      <c r="X91" s="14"/>
      <c r="Y91" s="14"/>
      <c r="Z91" s="14"/>
      <c r="AA91" s="14"/>
      <c r="AB91" s="13"/>
      <c r="AC91" s="14"/>
    </row>
    <row r="92" customFormat="1" spans="1:29">
      <c r="A92" s="23"/>
      <c r="B92" s="26"/>
      <c r="D92" s="14"/>
      <c r="E92" s="14"/>
      <c r="F92" s="14"/>
      <c r="G92" s="14"/>
      <c r="H92" s="14"/>
      <c r="I92" s="14"/>
      <c r="J92" s="14"/>
      <c r="K92" s="13"/>
      <c r="L92" s="14"/>
      <c r="M92" s="14"/>
      <c r="N92" s="14"/>
      <c r="O92" s="14"/>
      <c r="P92" s="14"/>
      <c r="Q92" s="14"/>
      <c r="R92" s="14"/>
      <c r="S92" s="14"/>
      <c r="T92" s="14"/>
      <c r="U92" s="14"/>
      <c r="V92" s="14"/>
      <c r="W92" s="14"/>
      <c r="X92" s="14"/>
      <c r="Y92" s="14"/>
      <c r="Z92" s="14"/>
      <c r="AA92" s="14"/>
      <c r="AB92" s="13"/>
      <c r="AC92" s="14"/>
    </row>
  </sheetData>
  <mergeCells count="4">
    <mergeCell ref="A1:AB1"/>
    <mergeCell ref="A3:A9"/>
    <mergeCell ref="A10:A27"/>
    <mergeCell ref="A42:A4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zoomScale="60" zoomScaleNormal="60" topLeftCell="C21" workbookViewId="0">
      <selection activeCell="AD33" sqref="AD33"/>
    </sheetView>
  </sheetViews>
  <sheetFormatPr defaultColWidth="9.64601769911504" defaultRowHeight="13.5"/>
  <cols>
    <col min="1" max="1" width="4.52212389380531" style="23" customWidth="1"/>
    <col min="2" max="2" width="99.2743362831858" style="26" customWidth="1"/>
    <col min="3" max="3" width="43.4601769911504" customWidth="1"/>
    <col min="4" max="9" width="6.52212389380531" customWidth="1"/>
    <col min="10" max="10" width="10.5663716814159" customWidth="1"/>
    <col min="11" max="11" width="9" style="27"/>
    <col min="27" max="27" width="12.9380530973451" customWidth="1"/>
    <col min="28" max="28" width="9" style="27"/>
    <col min="29" max="29" width="19.4424778761062" customWidth="1"/>
  </cols>
  <sheetData>
    <row r="1" s="1" customFormat="1" spans="1:29">
      <c r="A1" s="2" t="s">
        <v>140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c r="B3" s="10" t="s">
        <v>296</v>
      </c>
      <c r="C3" s="11" t="s">
        <v>297</v>
      </c>
      <c r="D3" s="12">
        <v>5</v>
      </c>
      <c r="E3" s="12">
        <v>5</v>
      </c>
      <c r="F3" s="12">
        <v>5</v>
      </c>
      <c r="G3" s="12">
        <v>5</v>
      </c>
      <c r="H3" s="12">
        <v>5</v>
      </c>
      <c r="I3" s="12">
        <v>5</v>
      </c>
      <c r="J3" s="12">
        <v>5</v>
      </c>
      <c r="K3" s="13">
        <f t="shared" ref="K3:K22" si="0">SUM(D3:J3)</f>
        <v>35</v>
      </c>
      <c r="L3" s="12">
        <v>5</v>
      </c>
      <c r="M3" s="12">
        <v>5</v>
      </c>
      <c r="N3" s="12">
        <v>3</v>
      </c>
      <c r="O3" s="12">
        <v>4</v>
      </c>
      <c r="P3" s="12">
        <v>1</v>
      </c>
      <c r="Q3" s="12">
        <v>4</v>
      </c>
      <c r="R3" s="12">
        <v>4</v>
      </c>
      <c r="S3" s="12">
        <v>3</v>
      </c>
      <c r="T3" s="12">
        <v>5</v>
      </c>
      <c r="U3" s="12">
        <v>5</v>
      </c>
      <c r="V3" s="12">
        <v>5</v>
      </c>
      <c r="W3" s="12">
        <v>4</v>
      </c>
      <c r="X3" s="12">
        <v>1</v>
      </c>
      <c r="Y3" s="12">
        <v>3</v>
      </c>
      <c r="Z3" s="12">
        <v>3</v>
      </c>
      <c r="AA3" s="12">
        <v>3</v>
      </c>
      <c r="AB3" s="13">
        <f t="shared" ref="AB3:AB22" si="1">SUM(L3:AA3)</f>
        <v>58</v>
      </c>
      <c r="AC3" s="28" t="s">
        <v>30</v>
      </c>
    </row>
    <row r="4" ht="121.5" spans="1:29">
      <c r="A4" s="15"/>
      <c r="B4" s="10" t="s">
        <v>298</v>
      </c>
      <c r="C4" s="11" t="s">
        <v>299</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4</v>
      </c>
      <c r="X4" s="12">
        <v>1</v>
      </c>
      <c r="Y4" s="12">
        <v>3</v>
      </c>
      <c r="Z4" s="12">
        <v>3</v>
      </c>
      <c r="AA4" s="12">
        <v>3</v>
      </c>
      <c r="AB4" s="13">
        <f t="shared" si="1"/>
        <v>58</v>
      </c>
      <c r="AC4" s="29" t="s">
        <v>39</v>
      </c>
    </row>
    <row r="5" ht="135" spans="1:29">
      <c r="A5" s="15"/>
      <c r="B5" s="10" t="s">
        <v>300</v>
      </c>
      <c r="C5" s="11" t="s">
        <v>301</v>
      </c>
      <c r="D5" s="12">
        <v>5</v>
      </c>
      <c r="E5" s="12">
        <v>5</v>
      </c>
      <c r="F5" s="12">
        <v>5</v>
      </c>
      <c r="G5" s="12">
        <v>5</v>
      </c>
      <c r="H5" s="12">
        <v>5</v>
      </c>
      <c r="I5" s="12">
        <v>5</v>
      </c>
      <c r="J5" s="12">
        <v>5</v>
      </c>
      <c r="K5" s="13">
        <f t="shared" si="0"/>
        <v>35</v>
      </c>
      <c r="L5" s="12">
        <v>5</v>
      </c>
      <c r="M5" s="12">
        <v>5</v>
      </c>
      <c r="N5" s="12">
        <v>3</v>
      </c>
      <c r="O5" s="12">
        <v>4</v>
      </c>
      <c r="P5" s="12">
        <v>1</v>
      </c>
      <c r="Q5" s="12">
        <v>4</v>
      </c>
      <c r="R5" s="12">
        <v>4</v>
      </c>
      <c r="S5" s="12">
        <v>3</v>
      </c>
      <c r="T5" s="12">
        <v>5</v>
      </c>
      <c r="U5" s="12">
        <v>5</v>
      </c>
      <c r="V5" s="12">
        <v>5</v>
      </c>
      <c r="W5" s="12">
        <v>4</v>
      </c>
      <c r="X5" s="12">
        <v>1</v>
      </c>
      <c r="Y5" s="12">
        <v>3</v>
      </c>
      <c r="Z5" s="12">
        <v>3</v>
      </c>
      <c r="AA5" s="12">
        <v>3</v>
      </c>
      <c r="AB5" s="13">
        <f t="shared" si="1"/>
        <v>58</v>
      </c>
      <c r="AC5" s="28" t="s">
        <v>30</v>
      </c>
    </row>
    <row r="6" ht="162" spans="1:29">
      <c r="A6" s="15"/>
      <c r="B6" s="10" t="s">
        <v>302</v>
      </c>
      <c r="C6" s="11" t="s">
        <v>303</v>
      </c>
      <c r="D6" s="12">
        <v>5</v>
      </c>
      <c r="E6" s="12">
        <v>5</v>
      </c>
      <c r="F6" s="12">
        <v>5</v>
      </c>
      <c r="G6" s="12">
        <v>5</v>
      </c>
      <c r="H6" s="12">
        <v>5</v>
      </c>
      <c r="I6" s="12">
        <v>5</v>
      </c>
      <c r="J6" s="12">
        <v>5</v>
      </c>
      <c r="K6" s="13">
        <f t="shared" si="0"/>
        <v>35</v>
      </c>
      <c r="L6" s="12">
        <v>5</v>
      </c>
      <c r="M6" s="12">
        <v>4</v>
      </c>
      <c r="N6" s="12">
        <v>3</v>
      </c>
      <c r="O6" s="12">
        <v>4</v>
      </c>
      <c r="P6" s="12">
        <v>1</v>
      </c>
      <c r="Q6" s="12">
        <v>4</v>
      </c>
      <c r="R6" s="12">
        <v>4</v>
      </c>
      <c r="S6" s="12">
        <v>5</v>
      </c>
      <c r="T6" s="12">
        <v>5</v>
      </c>
      <c r="U6" s="12">
        <v>5</v>
      </c>
      <c r="V6" s="12">
        <v>5</v>
      </c>
      <c r="W6" s="12">
        <v>3</v>
      </c>
      <c r="X6" s="12">
        <v>2</v>
      </c>
      <c r="Y6" s="12">
        <v>3</v>
      </c>
      <c r="Z6" s="12">
        <v>3</v>
      </c>
      <c r="AA6" s="12">
        <v>4</v>
      </c>
      <c r="AB6" s="13">
        <f t="shared" si="1"/>
        <v>60</v>
      </c>
      <c r="AC6" s="28" t="s">
        <v>30</v>
      </c>
    </row>
    <row r="7" ht="135" spans="1:29">
      <c r="A7" s="15"/>
      <c r="B7" s="10" t="s">
        <v>304</v>
      </c>
      <c r="C7" s="11" t="s">
        <v>305</v>
      </c>
      <c r="D7" s="12">
        <v>5</v>
      </c>
      <c r="E7" s="12">
        <v>5</v>
      </c>
      <c r="F7" s="12">
        <v>5</v>
      </c>
      <c r="G7" s="12">
        <v>5</v>
      </c>
      <c r="H7" s="12">
        <v>5</v>
      </c>
      <c r="I7" s="12">
        <v>5</v>
      </c>
      <c r="J7" s="12">
        <v>5</v>
      </c>
      <c r="K7" s="13">
        <f t="shared" si="0"/>
        <v>35</v>
      </c>
      <c r="L7" s="12">
        <v>5</v>
      </c>
      <c r="M7" s="12">
        <v>5</v>
      </c>
      <c r="N7" s="12">
        <v>3</v>
      </c>
      <c r="O7" s="12">
        <v>5</v>
      </c>
      <c r="P7" s="12">
        <v>1</v>
      </c>
      <c r="Q7" s="12">
        <v>4</v>
      </c>
      <c r="R7" s="12">
        <v>4</v>
      </c>
      <c r="S7" s="12">
        <v>5</v>
      </c>
      <c r="T7" s="12">
        <v>5</v>
      </c>
      <c r="U7" s="12">
        <v>5</v>
      </c>
      <c r="V7" s="12">
        <v>5</v>
      </c>
      <c r="W7" s="12">
        <v>3</v>
      </c>
      <c r="X7" s="12">
        <v>1</v>
      </c>
      <c r="Y7" s="12">
        <v>2</v>
      </c>
      <c r="Z7" s="12">
        <v>3</v>
      </c>
      <c r="AA7" s="12">
        <v>3</v>
      </c>
      <c r="AB7" s="13">
        <f t="shared" si="1"/>
        <v>59</v>
      </c>
      <c r="AC7" s="28" t="s">
        <v>30</v>
      </c>
    </row>
    <row r="8" ht="135" spans="1:29">
      <c r="A8" s="15"/>
      <c r="B8" s="10" t="s">
        <v>306</v>
      </c>
      <c r="C8" s="11" t="s">
        <v>307</v>
      </c>
      <c r="D8" s="12">
        <v>5</v>
      </c>
      <c r="E8" s="12">
        <v>5</v>
      </c>
      <c r="F8" s="12">
        <v>5</v>
      </c>
      <c r="G8" s="12">
        <v>5</v>
      </c>
      <c r="H8" s="12">
        <v>5</v>
      </c>
      <c r="I8" s="12">
        <v>5</v>
      </c>
      <c r="J8" s="12">
        <v>5</v>
      </c>
      <c r="K8" s="13">
        <f t="shared" si="0"/>
        <v>35</v>
      </c>
      <c r="L8" s="12">
        <v>5</v>
      </c>
      <c r="M8" s="12">
        <v>4</v>
      </c>
      <c r="N8" s="12">
        <v>3</v>
      </c>
      <c r="O8" s="12">
        <v>4</v>
      </c>
      <c r="P8" s="12">
        <v>1</v>
      </c>
      <c r="Q8" s="12">
        <v>4</v>
      </c>
      <c r="R8" s="12">
        <v>4</v>
      </c>
      <c r="S8" s="12">
        <v>5</v>
      </c>
      <c r="T8" s="12">
        <v>5</v>
      </c>
      <c r="U8" s="12">
        <v>5</v>
      </c>
      <c r="V8" s="12">
        <v>5</v>
      </c>
      <c r="W8" s="12">
        <v>3</v>
      </c>
      <c r="X8" s="12">
        <v>2</v>
      </c>
      <c r="Y8" s="12">
        <v>3</v>
      </c>
      <c r="Z8" s="12">
        <v>3</v>
      </c>
      <c r="AA8" s="12">
        <v>4</v>
      </c>
      <c r="AB8" s="13">
        <f t="shared" si="1"/>
        <v>60</v>
      </c>
      <c r="AC8" s="28" t="s">
        <v>30</v>
      </c>
    </row>
    <row r="9" ht="121.5" spans="1:29">
      <c r="A9" s="15"/>
      <c r="B9" s="10" t="s">
        <v>308</v>
      </c>
      <c r="C9" s="11" t="s">
        <v>309</v>
      </c>
      <c r="D9" s="12">
        <v>5</v>
      </c>
      <c r="E9" s="12">
        <v>4</v>
      </c>
      <c r="F9" s="12">
        <v>5</v>
      </c>
      <c r="G9" s="12">
        <v>5</v>
      </c>
      <c r="H9" s="12">
        <v>5</v>
      </c>
      <c r="I9" s="12">
        <v>5</v>
      </c>
      <c r="J9" s="12">
        <v>4</v>
      </c>
      <c r="K9" s="13">
        <f t="shared" si="0"/>
        <v>33</v>
      </c>
      <c r="L9" s="12">
        <v>5</v>
      </c>
      <c r="M9" s="12">
        <v>4</v>
      </c>
      <c r="N9" s="12">
        <v>3</v>
      </c>
      <c r="O9" s="12">
        <v>4</v>
      </c>
      <c r="P9" s="12">
        <v>1</v>
      </c>
      <c r="Q9" s="12">
        <v>4</v>
      </c>
      <c r="R9" s="12">
        <v>4</v>
      </c>
      <c r="S9" s="12">
        <v>5</v>
      </c>
      <c r="T9" s="12">
        <v>5</v>
      </c>
      <c r="U9" s="12">
        <v>5</v>
      </c>
      <c r="V9" s="12">
        <v>5</v>
      </c>
      <c r="W9" s="12">
        <v>4</v>
      </c>
      <c r="X9" s="12">
        <v>2</v>
      </c>
      <c r="Y9" s="12">
        <v>3</v>
      </c>
      <c r="Z9" s="12">
        <v>3</v>
      </c>
      <c r="AA9" s="12">
        <v>4</v>
      </c>
      <c r="AB9" s="13">
        <f t="shared" si="1"/>
        <v>61</v>
      </c>
      <c r="AC9" s="28" t="s">
        <v>30</v>
      </c>
    </row>
    <row r="10" ht="202.5" spans="1:29">
      <c r="A10" s="15"/>
      <c r="B10" s="10" t="s">
        <v>310</v>
      </c>
      <c r="C10" s="11" t="s">
        <v>311</v>
      </c>
      <c r="D10" s="12">
        <v>5</v>
      </c>
      <c r="E10" s="12">
        <v>4</v>
      </c>
      <c r="F10" s="12">
        <v>5</v>
      </c>
      <c r="G10" s="12">
        <v>5</v>
      </c>
      <c r="H10" s="12">
        <v>5</v>
      </c>
      <c r="I10" s="12">
        <v>5</v>
      </c>
      <c r="J10" s="12">
        <v>4</v>
      </c>
      <c r="K10" s="13">
        <f t="shared" si="0"/>
        <v>33</v>
      </c>
      <c r="L10" s="12">
        <v>5</v>
      </c>
      <c r="M10" s="12">
        <v>4</v>
      </c>
      <c r="N10" s="12">
        <v>3</v>
      </c>
      <c r="O10" s="12">
        <v>4</v>
      </c>
      <c r="P10" s="12">
        <v>1</v>
      </c>
      <c r="Q10" s="12">
        <v>4</v>
      </c>
      <c r="R10" s="12">
        <v>4</v>
      </c>
      <c r="S10" s="12">
        <v>5</v>
      </c>
      <c r="T10" s="12">
        <v>5</v>
      </c>
      <c r="U10" s="12">
        <v>5</v>
      </c>
      <c r="V10" s="12">
        <v>5</v>
      </c>
      <c r="W10" s="12">
        <v>4</v>
      </c>
      <c r="X10" s="12">
        <v>2</v>
      </c>
      <c r="Y10" s="12">
        <v>4</v>
      </c>
      <c r="Z10" s="12">
        <v>3</v>
      </c>
      <c r="AA10" s="12">
        <v>4</v>
      </c>
      <c r="AB10" s="13">
        <f t="shared" si="1"/>
        <v>62</v>
      </c>
      <c r="AC10" s="28" t="s">
        <v>30</v>
      </c>
    </row>
    <row r="11" ht="162" spans="1:29">
      <c r="A11" s="15"/>
      <c r="B11" s="10" t="s">
        <v>312</v>
      </c>
      <c r="C11" s="11" t="s">
        <v>313</v>
      </c>
      <c r="D11" s="12">
        <v>5</v>
      </c>
      <c r="E11" s="12">
        <v>5</v>
      </c>
      <c r="F11" s="12">
        <v>5</v>
      </c>
      <c r="G11" s="12">
        <v>5</v>
      </c>
      <c r="H11" s="12">
        <v>5</v>
      </c>
      <c r="I11" s="12">
        <v>5</v>
      </c>
      <c r="J11" s="12">
        <v>5</v>
      </c>
      <c r="K11" s="13">
        <f t="shared" si="0"/>
        <v>35</v>
      </c>
      <c r="L11" s="12">
        <v>5</v>
      </c>
      <c r="M11" s="12">
        <v>4</v>
      </c>
      <c r="N11" s="12">
        <v>3</v>
      </c>
      <c r="O11" s="12">
        <v>4</v>
      </c>
      <c r="P11" s="12">
        <v>1</v>
      </c>
      <c r="Q11" s="12">
        <v>4</v>
      </c>
      <c r="R11" s="12">
        <v>4</v>
      </c>
      <c r="S11" s="12">
        <v>5</v>
      </c>
      <c r="T11" s="12">
        <v>5</v>
      </c>
      <c r="U11" s="12">
        <v>5</v>
      </c>
      <c r="V11" s="12">
        <v>5</v>
      </c>
      <c r="W11" s="12">
        <v>3</v>
      </c>
      <c r="X11" s="12">
        <v>2</v>
      </c>
      <c r="Y11" s="12">
        <v>4</v>
      </c>
      <c r="Z11" s="12">
        <v>3</v>
      </c>
      <c r="AA11" s="12">
        <v>3</v>
      </c>
      <c r="AB11" s="13">
        <f t="shared" si="1"/>
        <v>60</v>
      </c>
      <c r="AC11" s="28" t="s">
        <v>30</v>
      </c>
    </row>
    <row r="12" ht="135" spans="1:29">
      <c r="A12" s="15"/>
      <c r="B12" s="10" t="s">
        <v>314</v>
      </c>
      <c r="C12" s="11" t="s">
        <v>315</v>
      </c>
      <c r="D12" s="12">
        <v>5</v>
      </c>
      <c r="E12" s="12">
        <v>4</v>
      </c>
      <c r="F12" s="12">
        <v>5</v>
      </c>
      <c r="G12" s="12">
        <v>5</v>
      </c>
      <c r="H12" s="12">
        <v>5</v>
      </c>
      <c r="I12" s="12">
        <v>5</v>
      </c>
      <c r="J12" s="12">
        <v>4</v>
      </c>
      <c r="K12" s="13">
        <f t="shared" si="0"/>
        <v>33</v>
      </c>
      <c r="L12" s="12">
        <v>5</v>
      </c>
      <c r="M12" s="12">
        <v>4</v>
      </c>
      <c r="N12" s="12">
        <v>3</v>
      </c>
      <c r="O12" s="12">
        <v>4</v>
      </c>
      <c r="P12" s="12">
        <v>1</v>
      </c>
      <c r="Q12" s="12">
        <v>4</v>
      </c>
      <c r="R12" s="12">
        <v>4</v>
      </c>
      <c r="S12" s="12">
        <v>5</v>
      </c>
      <c r="T12" s="12">
        <v>5</v>
      </c>
      <c r="U12" s="12">
        <v>5</v>
      </c>
      <c r="V12" s="12">
        <v>5</v>
      </c>
      <c r="W12" s="12">
        <v>4</v>
      </c>
      <c r="X12" s="12">
        <v>2</v>
      </c>
      <c r="Y12" s="12">
        <v>4</v>
      </c>
      <c r="Z12" s="12">
        <v>3</v>
      </c>
      <c r="AA12" s="12">
        <v>4</v>
      </c>
      <c r="AB12" s="13">
        <f t="shared" si="1"/>
        <v>62</v>
      </c>
      <c r="AC12" s="28" t="s">
        <v>30</v>
      </c>
    </row>
    <row r="13" ht="121.5" spans="1:29">
      <c r="A13" s="15"/>
      <c r="B13" s="10" t="s">
        <v>316</v>
      </c>
      <c r="C13" s="11" t="s">
        <v>317</v>
      </c>
      <c r="D13" s="12">
        <v>5</v>
      </c>
      <c r="E13" s="12">
        <v>5</v>
      </c>
      <c r="F13" s="12">
        <v>5</v>
      </c>
      <c r="G13" s="12">
        <v>5</v>
      </c>
      <c r="H13" s="12">
        <v>5</v>
      </c>
      <c r="I13" s="12">
        <v>5</v>
      </c>
      <c r="J13" s="12">
        <v>5</v>
      </c>
      <c r="K13" s="13">
        <f t="shared" si="0"/>
        <v>35</v>
      </c>
      <c r="L13" s="12">
        <v>4</v>
      </c>
      <c r="M13" s="12">
        <v>4</v>
      </c>
      <c r="N13" s="12">
        <v>3</v>
      </c>
      <c r="O13" s="12">
        <v>5</v>
      </c>
      <c r="P13" s="12">
        <v>2</v>
      </c>
      <c r="Q13" s="12">
        <v>4</v>
      </c>
      <c r="R13" s="12">
        <v>4</v>
      </c>
      <c r="S13" s="12">
        <v>5</v>
      </c>
      <c r="T13" s="12">
        <v>5</v>
      </c>
      <c r="U13" s="12">
        <v>5</v>
      </c>
      <c r="V13" s="12">
        <v>5</v>
      </c>
      <c r="W13" s="12">
        <v>3</v>
      </c>
      <c r="X13" s="12">
        <v>3</v>
      </c>
      <c r="Y13" s="12">
        <v>4</v>
      </c>
      <c r="Z13" s="12">
        <v>3</v>
      </c>
      <c r="AA13" s="12">
        <v>3</v>
      </c>
      <c r="AB13" s="13">
        <f t="shared" si="1"/>
        <v>62</v>
      </c>
      <c r="AC13" s="28" t="s">
        <v>30</v>
      </c>
    </row>
    <row r="14" ht="195" customHeight="1" spans="1:29">
      <c r="A14" s="15"/>
      <c r="B14" s="10" t="s">
        <v>318</v>
      </c>
      <c r="C14" s="11" t="s">
        <v>319</v>
      </c>
      <c r="D14" s="12">
        <v>5</v>
      </c>
      <c r="E14" s="12">
        <v>5</v>
      </c>
      <c r="F14" s="12">
        <v>5</v>
      </c>
      <c r="G14" s="12">
        <v>5</v>
      </c>
      <c r="H14" s="12">
        <v>5</v>
      </c>
      <c r="I14" s="12">
        <v>5</v>
      </c>
      <c r="J14" s="12">
        <v>5</v>
      </c>
      <c r="K14" s="13">
        <f t="shared" si="0"/>
        <v>35</v>
      </c>
      <c r="L14" s="12">
        <v>4</v>
      </c>
      <c r="M14" s="12">
        <v>4</v>
      </c>
      <c r="N14" s="12">
        <v>3</v>
      </c>
      <c r="O14" s="12">
        <v>5</v>
      </c>
      <c r="P14" s="12">
        <v>2</v>
      </c>
      <c r="Q14" s="12">
        <v>4</v>
      </c>
      <c r="R14" s="12">
        <v>4</v>
      </c>
      <c r="S14" s="12">
        <v>5</v>
      </c>
      <c r="T14" s="12">
        <v>5</v>
      </c>
      <c r="U14" s="12">
        <v>5</v>
      </c>
      <c r="V14" s="12">
        <v>5</v>
      </c>
      <c r="W14" s="12">
        <v>3</v>
      </c>
      <c r="X14" s="12">
        <v>3</v>
      </c>
      <c r="Y14" s="12">
        <v>4</v>
      </c>
      <c r="Z14" s="12">
        <v>3</v>
      </c>
      <c r="AA14" s="12">
        <v>3</v>
      </c>
      <c r="AB14" s="13">
        <f t="shared" si="1"/>
        <v>62</v>
      </c>
      <c r="AC14" s="28" t="s">
        <v>30</v>
      </c>
    </row>
    <row r="15" ht="162" spans="1:29">
      <c r="A15" s="21"/>
      <c r="B15" s="10" t="s">
        <v>320</v>
      </c>
      <c r="C15" s="11" t="s">
        <v>321</v>
      </c>
      <c r="D15" s="12">
        <v>5</v>
      </c>
      <c r="E15" s="12">
        <v>5</v>
      </c>
      <c r="F15" s="12">
        <v>5</v>
      </c>
      <c r="G15" s="12">
        <v>5</v>
      </c>
      <c r="H15" s="12">
        <v>5</v>
      </c>
      <c r="I15" s="12">
        <v>5</v>
      </c>
      <c r="J15" s="12">
        <v>5</v>
      </c>
      <c r="K15" s="13">
        <f t="shared" si="0"/>
        <v>35</v>
      </c>
      <c r="L15" s="12">
        <v>4</v>
      </c>
      <c r="M15" s="12">
        <v>4</v>
      </c>
      <c r="N15" s="12">
        <v>3</v>
      </c>
      <c r="O15" s="12">
        <v>5</v>
      </c>
      <c r="P15" s="12">
        <v>2</v>
      </c>
      <c r="Q15" s="12">
        <v>5</v>
      </c>
      <c r="R15" s="12">
        <v>4</v>
      </c>
      <c r="S15" s="12">
        <v>5</v>
      </c>
      <c r="T15" s="12">
        <v>5</v>
      </c>
      <c r="U15" s="12">
        <v>5</v>
      </c>
      <c r="V15" s="12">
        <v>5</v>
      </c>
      <c r="W15" s="12">
        <v>3</v>
      </c>
      <c r="X15" s="12">
        <v>3</v>
      </c>
      <c r="Y15" s="12">
        <v>4</v>
      </c>
      <c r="Z15" s="12">
        <v>3</v>
      </c>
      <c r="AA15" s="12">
        <v>3</v>
      </c>
      <c r="AB15" s="13">
        <f t="shared" si="1"/>
        <v>63</v>
      </c>
      <c r="AC15" s="28" t="s">
        <v>30</v>
      </c>
    </row>
    <row r="16" ht="135" spans="1:29">
      <c r="A16" s="21"/>
      <c r="B16" s="10" t="s">
        <v>322</v>
      </c>
      <c r="C16" s="11" t="s">
        <v>323</v>
      </c>
      <c r="D16" s="12">
        <v>5</v>
      </c>
      <c r="E16" s="12">
        <v>5</v>
      </c>
      <c r="F16" s="12">
        <v>5</v>
      </c>
      <c r="G16" s="12">
        <v>5</v>
      </c>
      <c r="H16" s="12">
        <v>5</v>
      </c>
      <c r="I16" s="12">
        <v>5</v>
      </c>
      <c r="J16" s="12">
        <v>5</v>
      </c>
      <c r="K16" s="13">
        <f t="shared" si="0"/>
        <v>35</v>
      </c>
      <c r="L16" s="12">
        <v>4</v>
      </c>
      <c r="M16" s="12">
        <v>4</v>
      </c>
      <c r="N16" s="12">
        <v>3</v>
      </c>
      <c r="O16" s="12">
        <v>5</v>
      </c>
      <c r="P16" s="12">
        <v>2</v>
      </c>
      <c r="Q16" s="12">
        <v>5</v>
      </c>
      <c r="R16" s="12">
        <v>4</v>
      </c>
      <c r="S16" s="12">
        <v>5</v>
      </c>
      <c r="T16" s="12">
        <v>5</v>
      </c>
      <c r="U16" s="12">
        <v>5</v>
      </c>
      <c r="V16" s="12">
        <v>5</v>
      </c>
      <c r="W16" s="12">
        <v>3</v>
      </c>
      <c r="X16" s="12">
        <v>3</v>
      </c>
      <c r="Y16" s="12">
        <v>4</v>
      </c>
      <c r="Z16" s="12">
        <v>3</v>
      </c>
      <c r="AA16" s="12">
        <v>3</v>
      </c>
      <c r="AB16" s="13">
        <f t="shared" si="1"/>
        <v>63</v>
      </c>
      <c r="AC16" s="28" t="s">
        <v>30</v>
      </c>
    </row>
    <row r="17" ht="148.5" spans="1:29">
      <c r="A17" s="15"/>
      <c r="B17" s="10" t="s">
        <v>324</v>
      </c>
      <c r="C17" s="11" t="s">
        <v>325</v>
      </c>
      <c r="D17" s="12">
        <v>5</v>
      </c>
      <c r="E17" s="12">
        <v>5</v>
      </c>
      <c r="F17" s="12">
        <v>5</v>
      </c>
      <c r="G17" s="12">
        <v>5</v>
      </c>
      <c r="H17" s="12">
        <v>5</v>
      </c>
      <c r="I17" s="12">
        <v>5</v>
      </c>
      <c r="J17" s="12">
        <v>5</v>
      </c>
      <c r="K17" s="13">
        <f t="shared" si="0"/>
        <v>35</v>
      </c>
      <c r="L17" s="12">
        <v>5</v>
      </c>
      <c r="M17" s="12">
        <v>5</v>
      </c>
      <c r="N17" s="12">
        <v>3</v>
      </c>
      <c r="O17" s="12">
        <v>5</v>
      </c>
      <c r="P17" s="12">
        <v>3</v>
      </c>
      <c r="Q17" s="12">
        <v>4</v>
      </c>
      <c r="R17" s="12">
        <v>4</v>
      </c>
      <c r="S17" s="12">
        <v>5</v>
      </c>
      <c r="T17" s="12">
        <v>5</v>
      </c>
      <c r="U17" s="12">
        <v>5</v>
      </c>
      <c r="V17" s="12">
        <v>5</v>
      </c>
      <c r="W17" s="12">
        <v>4</v>
      </c>
      <c r="X17" s="12">
        <v>3</v>
      </c>
      <c r="Y17" s="12">
        <v>4</v>
      </c>
      <c r="Z17" s="12">
        <v>3</v>
      </c>
      <c r="AA17" s="12">
        <v>4</v>
      </c>
      <c r="AB17" s="13">
        <f t="shared" si="1"/>
        <v>67</v>
      </c>
      <c r="AC17" s="28" t="s">
        <v>30</v>
      </c>
    </row>
    <row r="18" ht="175.5" spans="1:29">
      <c r="A18" s="15"/>
      <c r="B18" s="10" t="s">
        <v>326</v>
      </c>
      <c r="C18" s="11" t="s">
        <v>327</v>
      </c>
      <c r="D18" s="12">
        <v>5</v>
      </c>
      <c r="E18" s="12">
        <v>5</v>
      </c>
      <c r="F18" s="12">
        <v>5</v>
      </c>
      <c r="G18" s="12">
        <v>5</v>
      </c>
      <c r="H18" s="12">
        <v>5</v>
      </c>
      <c r="I18" s="12">
        <v>5</v>
      </c>
      <c r="J18" s="12">
        <v>5</v>
      </c>
      <c r="K18" s="13">
        <f t="shared" si="0"/>
        <v>35</v>
      </c>
      <c r="L18" s="12">
        <v>5</v>
      </c>
      <c r="M18" s="12">
        <v>5</v>
      </c>
      <c r="N18" s="12">
        <v>3</v>
      </c>
      <c r="O18" s="12">
        <v>5</v>
      </c>
      <c r="P18" s="12">
        <v>3</v>
      </c>
      <c r="Q18" s="12">
        <v>4</v>
      </c>
      <c r="R18" s="12">
        <v>4</v>
      </c>
      <c r="S18" s="12">
        <v>5</v>
      </c>
      <c r="T18" s="12">
        <v>5</v>
      </c>
      <c r="U18" s="12">
        <v>5</v>
      </c>
      <c r="V18" s="12">
        <v>5</v>
      </c>
      <c r="W18" s="12">
        <v>4</v>
      </c>
      <c r="X18" s="12">
        <v>3</v>
      </c>
      <c r="Y18" s="12">
        <v>4</v>
      </c>
      <c r="Z18" s="12">
        <v>3</v>
      </c>
      <c r="AA18" s="12">
        <v>4</v>
      </c>
      <c r="AB18" s="13">
        <f t="shared" si="1"/>
        <v>67</v>
      </c>
      <c r="AC18" s="28" t="s">
        <v>30</v>
      </c>
    </row>
    <row r="19" ht="108" spans="1:29">
      <c r="A19" s="15"/>
      <c r="B19" s="10" t="s">
        <v>328</v>
      </c>
      <c r="C19" s="11" t="s">
        <v>329</v>
      </c>
      <c r="D19" s="12">
        <v>5</v>
      </c>
      <c r="E19" s="12">
        <v>5</v>
      </c>
      <c r="F19" s="12">
        <v>5</v>
      </c>
      <c r="G19" s="12">
        <v>5</v>
      </c>
      <c r="H19" s="12">
        <v>5</v>
      </c>
      <c r="I19" s="12">
        <v>5</v>
      </c>
      <c r="J19" s="12">
        <v>5</v>
      </c>
      <c r="K19" s="13">
        <f t="shared" si="0"/>
        <v>35</v>
      </c>
      <c r="L19" s="12">
        <v>5</v>
      </c>
      <c r="M19" s="12">
        <v>5</v>
      </c>
      <c r="N19" s="12">
        <v>3</v>
      </c>
      <c r="O19" s="12">
        <v>5</v>
      </c>
      <c r="P19" s="12">
        <v>3</v>
      </c>
      <c r="Q19" s="12">
        <v>4</v>
      </c>
      <c r="R19" s="12">
        <v>4</v>
      </c>
      <c r="S19" s="12">
        <v>5</v>
      </c>
      <c r="T19" s="12">
        <v>5</v>
      </c>
      <c r="U19" s="12">
        <v>5</v>
      </c>
      <c r="V19" s="12">
        <v>5</v>
      </c>
      <c r="W19" s="12">
        <v>4</v>
      </c>
      <c r="X19" s="12">
        <v>3</v>
      </c>
      <c r="Y19" s="12">
        <v>4</v>
      </c>
      <c r="Z19" s="12">
        <v>3</v>
      </c>
      <c r="AA19" s="12">
        <v>4</v>
      </c>
      <c r="AB19" s="13">
        <f t="shared" si="1"/>
        <v>67</v>
      </c>
      <c r="AC19" s="28" t="s">
        <v>30</v>
      </c>
    </row>
    <row r="20" customFormat="1" ht="175.5" spans="1:29">
      <c r="A20" s="23"/>
      <c r="B20" s="10" t="s">
        <v>330</v>
      </c>
      <c r="C20" s="11" t="s">
        <v>331</v>
      </c>
      <c r="D20" s="12">
        <v>5</v>
      </c>
      <c r="E20" s="12">
        <v>5</v>
      </c>
      <c r="F20" s="12">
        <v>5</v>
      </c>
      <c r="G20" s="12">
        <v>5</v>
      </c>
      <c r="H20" s="12">
        <v>5</v>
      </c>
      <c r="I20" s="12">
        <v>5</v>
      </c>
      <c r="J20" s="12">
        <v>5</v>
      </c>
      <c r="K20" s="13">
        <f t="shared" si="0"/>
        <v>35</v>
      </c>
      <c r="L20" s="12">
        <v>5</v>
      </c>
      <c r="M20" s="12">
        <v>5</v>
      </c>
      <c r="N20" s="12">
        <v>4</v>
      </c>
      <c r="O20" s="12">
        <v>5</v>
      </c>
      <c r="P20" s="12">
        <v>2</v>
      </c>
      <c r="Q20" s="12">
        <v>4</v>
      </c>
      <c r="R20" s="12">
        <v>4</v>
      </c>
      <c r="S20" s="12">
        <v>1</v>
      </c>
      <c r="T20" s="12">
        <v>5</v>
      </c>
      <c r="U20" s="12">
        <v>5</v>
      </c>
      <c r="V20" s="12">
        <v>5</v>
      </c>
      <c r="W20" s="12">
        <v>4</v>
      </c>
      <c r="X20" s="12">
        <v>2</v>
      </c>
      <c r="Y20" s="12">
        <v>4</v>
      </c>
      <c r="Z20" s="12">
        <v>3</v>
      </c>
      <c r="AA20" s="12">
        <v>3</v>
      </c>
      <c r="AB20" s="13">
        <f t="shared" si="1"/>
        <v>61</v>
      </c>
      <c r="AC20" s="28" t="s">
        <v>30</v>
      </c>
    </row>
    <row r="21" ht="162" spans="1:29">
      <c r="A21" s="24"/>
      <c r="B21" s="10" t="s">
        <v>332</v>
      </c>
      <c r="C21" s="11" t="s">
        <v>333</v>
      </c>
      <c r="D21" s="12">
        <v>5</v>
      </c>
      <c r="E21" s="12">
        <v>5</v>
      </c>
      <c r="F21" s="12">
        <v>5</v>
      </c>
      <c r="G21" s="12">
        <v>5</v>
      </c>
      <c r="H21" s="12">
        <v>5</v>
      </c>
      <c r="I21" s="12">
        <v>5</v>
      </c>
      <c r="J21" s="12">
        <v>5</v>
      </c>
      <c r="K21" s="13">
        <f t="shared" si="0"/>
        <v>35</v>
      </c>
      <c r="L21" s="12">
        <v>5</v>
      </c>
      <c r="M21" s="12">
        <v>5</v>
      </c>
      <c r="N21" s="12">
        <v>4</v>
      </c>
      <c r="O21" s="12">
        <v>5</v>
      </c>
      <c r="P21" s="12">
        <v>2</v>
      </c>
      <c r="Q21" s="12">
        <v>4</v>
      </c>
      <c r="R21" s="12">
        <v>4</v>
      </c>
      <c r="S21" s="12">
        <v>1</v>
      </c>
      <c r="T21" s="12">
        <v>5</v>
      </c>
      <c r="U21" s="12">
        <v>5</v>
      </c>
      <c r="V21" s="12">
        <v>5</v>
      </c>
      <c r="W21" s="12">
        <v>4</v>
      </c>
      <c r="X21" s="12">
        <v>2</v>
      </c>
      <c r="Y21" s="12">
        <v>4</v>
      </c>
      <c r="Z21" s="12">
        <v>3</v>
      </c>
      <c r="AA21" s="12">
        <v>3</v>
      </c>
      <c r="AB21" s="13">
        <f t="shared" si="1"/>
        <v>61</v>
      </c>
      <c r="AC21" s="28" t="s">
        <v>30</v>
      </c>
    </row>
    <row r="22" customFormat="1" ht="135" spans="1:29">
      <c r="A22" s="23"/>
      <c r="B22" s="10" t="s">
        <v>334</v>
      </c>
      <c r="C22" s="11" t="s">
        <v>335</v>
      </c>
      <c r="D22" s="12">
        <v>5</v>
      </c>
      <c r="E22" s="12">
        <v>5</v>
      </c>
      <c r="F22" s="12">
        <v>5</v>
      </c>
      <c r="G22" s="12">
        <v>5</v>
      </c>
      <c r="H22" s="12">
        <v>5</v>
      </c>
      <c r="I22" s="12">
        <v>5</v>
      </c>
      <c r="J22" s="12">
        <v>5</v>
      </c>
      <c r="K22" s="13">
        <f t="shared" si="0"/>
        <v>35</v>
      </c>
      <c r="L22" s="12">
        <v>5</v>
      </c>
      <c r="M22" s="12">
        <v>5</v>
      </c>
      <c r="N22" s="12">
        <v>4</v>
      </c>
      <c r="O22" s="12">
        <v>5</v>
      </c>
      <c r="P22" s="12">
        <v>2</v>
      </c>
      <c r="Q22" s="12">
        <v>4</v>
      </c>
      <c r="R22" s="12">
        <v>4</v>
      </c>
      <c r="S22" s="12">
        <v>1</v>
      </c>
      <c r="T22" s="12">
        <v>5</v>
      </c>
      <c r="U22" s="12">
        <v>5</v>
      </c>
      <c r="V22" s="12">
        <v>5</v>
      </c>
      <c r="W22" s="12">
        <v>4</v>
      </c>
      <c r="X22" s="12">
        <v>2</v>
      </c>
      <c r="Y22" s="12">
        <v>4</v>
      </c>
      <c r="Z22" s="12">
        <v>3</v>
      </c>
      <c r="AA22" s="12">
        <v>3</v>
      </c>
      <c r="AB22" s="13">
        <f t="shared" si="1"/>
        <v>61</v>
      </c>
      <c r="AC22" s="28" t="s">
        <v>30</v>
      </c>
    </row>
    <row r="23" customFormat="1" spans="1:29">
      <c r="A23" s="23"/>
      <c r="B23" s="10"/>
      <c r="C23" s="11"/>
      <c r="D23" s="14">
        <f>AVERAGE(D3:D22)</f>
        <v>5</v>
      </c>
      <c r="E23" s="14">
        <f t="shared" ref="E23:AB23" si="2">AVERAGE(E3:E22)</f>
        <v>4.85</v>
      </c>
      <c r="F23" s="14">
        <f t="shared" si="2"/>
        <v>5</v>
      </c>
      <c r="G23" s="14">
        <f t="shared" si="2"/>
        <v>5</v>
      </c>
      <c r="H23" s="14">
        <f t="shared" si="2"/>
        <v>5</v>
      </c>
      <c r="I23" s="14">
        <f t="shared" si="2"/>
        <v>5</v>
      </c>
      <c r="J23" s="14">
        <f t="shared" si="2"/>
        <v>4.85</v>
      </c>
      <c r="K23" s="14">
        <f t="shared" si="2"/>
        <v>34.7</v>
      </c>
      <c r="L23" s="14">
        <f t="shared" si="2"/>
        <v>4.8</v>
      </c>
      <c r="M23" s="14">
        <f t="shared" si="2"/>
        <v>4.5</v>
      </c>
      <c r="N23" s="14">
        <f t="shared" si="2"/>
        <v>3.15</v>
      </c>
      <c r="O23" s="14">
        <f t="shared" si="2"/>
        <v>4.55</v>
      </c>
      <c r="P23" s="14">
        <f t="shared" si="2"/>
        <v>1.65</v>
      </c>
      <c r="Q23" s="14">
        <f t="shared" si="2"/>
        <v>4.1</v>
      </c>
      <c r="R23" s="14">
        <f t="shared" si="2"/>
        <v>4</v>
      </c>
      <c r="S23" s="14">
        <f t="shared" si="2"/>
        <v>4.1</v>
      </c>
      <c r="T23" s="14">
        <f t="shared" si="2"/>
        <v>5</v>
      </c>
      <c r="U23" s="14">
        <f t="shared" si="2"/>
        <v>5</v>
      </c>
      <c r="V23" s="14">
        <f t="shared" si="2"/>
        <v>5</v>
      </c>
      <c r="W23" s="14">
        <f t="shared" si="2"/>
        <v>3.6</v>
      </c>
      <c r="X23" s="14">
        <f t="shared" si="2"/>
        <v>2.15</v>
      </c>
      <c r="Y23" s="14">
        <f t="shared" si="2"/>
        <v>3.6</v>
      </c>
      <c r="Z23" s="14">
        <f t="shared" si="2"/>
        <v>3</v>
      </c>
      <c r="AA23" s="14">
        <f t="shared" si="2"/>
        <v>3.4</v>
      </c>
      <c r="AB23" s="14">
        <f t="shared" si="2"/>
        <v>61.6</v>
      </c>
      <c r="AC23" s="14" t="s">
        <v>336</v>
      </c>
    </row>
    <row r="24" customFormat="1" spans="1:29">
      <c r="A24" s="23"/>
      <c r="B24" s="10"/>
      <c r="C24" s="11"/>
      <c r="D24" s="14"/>
      <c r="E24" s="14"/>
      <c r="F24" s="14"/>
      <c r="G24" s="14"/>
      <c r="H24" s="14"/>
      <c r="I24" s="14"/>
      <c r="J24" s="14"/>
      <c r="K24" s="13"/>
      <c r="L24" s="14"/>
      <c r="M24" s="14"/>
      <c r="N24" s="14"/>
      <c r="O24" s="14"/>
      <c r="P24" s="14"/>
      <c r="Q24" s="14"/>
      <c r="R24" s="14"/>
      <c r="S24" s="14"/>
      <c r="T24" s="14"/>
      <c r="U24" s="14"/>
      <c r="V24" s="14"/>
      <c r="W24" s="14"/>
      <c r="X24" s="14"/>
      <c r="Y24" s="14"/>
      <c r="Z24" s="14"/>
      <c r="AA24" s="14"/>
      <c r="AB24" s="13"/>
      <c r="AC24" s="14" t="s">
        <v>188</v>
      </c>
    </row>
    <row r="25" customFormat="1" spans="1:29">
      <c r="A25" s="23"/>
      <c r="B25" s="10"/>
      <c r="C25" s="11"/>
      <c r="D25" s="14"/>
      <c r="E25" s="14"/>
      <c r="F25" s="14"/>
      <c r="G25" s="14"/>
      <c r="H25" s="14"/>
      <c r="I25" s="14"/>
      <c r="J25" s="14"/>
      <c r="K25" s="13"/>
      <c r="L25" s="14"/>
      <c r="M25" s="14"/>
      <c r="N25" s="14"/>
      <c r="O25" s="14"/>
      <c r="P25" s="14"/>
      <c r="Q25" s="14"/>
      <c r="R25" s="14"/>
      <c r="S25" s="14"/>
      <c r="T25" s="14"/>
      <c r="U25" s="14"/>
      <c r="V25" s="14"/>
      <c r="W25" s="14"/>
      <c r="X25" s="14"/>
      <c r="Y25" s="14"/>
      <c r="Z25" s="14"/>
      <c r="AA25" s="14"/>
      <c r="AB25" s="13"/>
      <c r="AC25" s="14" t="s">
        <v>337</v>
      </c>
    </row>
    <row r="26" customFormat="1" spans="1:29">
      <c r="A26" s="23"/>
      <c r="B26" s="10"/>
      <c r="C26" s="11"/>
      <c r="D26" s="14"/>
      <c r="E26" s="14"/>
      <c r="F26" s="14"/>
      <c r="G26" s="14"/>
      <c r="H26" s="14"/>
      <c r="I26" s="14"/>
      <c r="J26" s="14"/>
      <c r="K26" s="13"/>
      <c r="L26" s="14"/>
      <c r="M26" s="14"/>
      <c r="N26" s="14"/>
      <c r="O26" s="14"/>
      <c r="P26" s="14"/>
      <c r="Q26" s="14"/>
      <c r="R26" s="14"/>
      <c r="S26" s="14"/>
      <c r="T26" s="14"/>
      <c r="U26" s="14"/>
      <c r="V26" s="14"/>
      <c r="W26" s="14"/>
      <c r="X26" s="14"/>
      <c r="Y26" s="14"/>
      <c r="Z26" s="14"/>
      <c r="AA26" s="14"/>
      <c r="AB26" s="13"/>
      <c r="AC26" s="14" t="s">
        <v>338</v>
      </c>
    </row>
    <row r="27" customFormat="1" spans="1:29">
      <c r="A27" s="23"/>
      <c r="B27" s="10"/>
      <c r="C27" s="11"/>
      <c r="D27" s="14"/>
      <c r="E27" s="14"/>
      <c r="F27" s="14"/>
      <c r="G27" s="14"/>
      <c r="H27" s="14"/>
      <c r="I27" s="14"/>
      <c r="J27" s="14"/>
      <c r="K27" s="13"/>
      <c r="L27" s="14"/>
      <c r="M27" s="14"/>
      <c r="N27" s="14"/>
      <c r="O27" s="14"/>
      <c r="P27" s="14"/>
      <c r="Q27" s="14"/>
      <c r="R27" s="14"/>
      <c r="S27" s="14"/>
      <c r="T27" s="14"/>
      <c r="U27" s="14"/>
      <c r="V27" s="14"/>
      <c r="W27" s="14"/>
      <c r="X27" s="14"/>
      <c r="Y27" s="14"/>
      <c r="Z27" s="14"/>
      <c r="AA27" s="14"/>
      <c r="AB27" s="13"/>
      <c r="AC27" s="14" t="s">
        <v>339</v>
      </c>
    </row>
    <row r="28" customFormat="1" spans="1:29">
      <c r="A28" s="23"/>
      <c r="B28" s="10"/>
      <c r="C28" s="11"/>
      <c r="D28" s="14"/>
      <c r="E28" s="14"/>
      <c r="F28" s="14"/>
      <c r="G28" s="14"/>
      <c r="H28" s="14"/>
      <c r="I28" s="14"/>
      <c r="J28" s="14"/>
      <c r="K28" s="13"/>
      <c r="L28" s="14"/>
      <c r="M28" s="14"/>
      <c r="N28" s="14"/>
      <c r="O28" s="14"/>
      <c r="P28" s="14"/>
      <c r="Q28" s="14"/>
      <c r="R28" s="14"/>
      <c r="S28" s="14"/>
      <c r="T28" s="14"/>
      <c r="U28" s="14"/>
      <c r="V28" s="14"/>
      <c r="W28" s="14"/>
      <c r="X28" s="14"/>
      <c r="Y28" s="14"/>
      <c r="Z28" s="14"/>
      <c r="AA28" s="14"/>
      <c r="AB28" s="13"/>
      <c r="AC28" s="14" t="s">
        <v>340</v>
      </c>
    </row>
    <row r="29" customFormat="1" spans="1:29">
      <c r="A29" s="23"/>
      <c r="B29" s="10"/>
      <c r="C29" s="11"/>
      <c r="D29" s="14"/>
      <c r="E29" s="14"/>
      <c r="F29" s="14"/>
      <c r="G29" s="14"/>
      <c r="H29" s="14"/>
      <c r="I29" s="14"/>
      <c r="J29" s="14"/>
      <c r="K29" s="13"/>
      <c r="L29" s="14"/>
      <c r="M29" s="14"/>
      <c r="N29" s="14"/>
      <c r="O29" s="14"/>
      <c r="P29" s="14"/>
      <c r="Q29" s="14"/>
      <c r="R29" s="14"/>
      <c r="S29" s="14"/>
      <c r="T29" s="14"/>
      <c r="U29" s="14"/>
      <c r="V29" s="14"/>
      <c r="W29" s="14"/>
      <c r="X29" s="14"/>
      <c r="Y29" s="14"/>
      <c r="Z29" s="14"/>
      <c r="AA29" s="14"/>
      <c r="AB29" s="13"/>
      <c r="AC29" s="14"/>
    </row>
    <row r="30" customFormat="1" spans="1:29">
      <c r="A30" s="23"/>
      <c r="B30" s="10"/>
      <c r="C30" s="11"/>
      <c r="D30" s="14"/>
      <c r="E30" s="14"/>
      <c r="F30" s="14"/>
      <c r="G30" s="14"/>
      <c r="H30" s="14"/>
      <c r="I30" s="14"/>
      <c r="J30" s="14"/>
      <c r="K30" s="13"/>
      <c r="L30" s="14"/>
      <c r="M30" s="14"/>
      <c r="N30" s="14"/>
      <c r="O30" s="14"/>
      <c r="P30" s="14"/>
      <c r="Q30" s="14"/>
      <c r="R30" s="14"/>
      <c r="S30" s="14"/>
      <c r="T30" s="14"/>
      <c r="U30" s="14"/>
      <c r="V30" s="14"/>
      <c r="W30" s="14"/>
      <c r="X30" s="14"/>
      <c r="Y30" s="14"/>
      <c r="Z30" s="14"/>
      <c r="AA30" s="14"/>
      <c r="AB30" s="13"/>
      <c r="AC30" s="14"/>
    </row>
    <row r="31" customFormat="1" spans="1:29">
      <c r="A31" s="23"/>
      <c r="B31" s="10"/>
      <c r="C31" s="11"/>
      <c r="D31" s="14"/>
      <c r="E31" s="14"/>
      <c r="F31" s="14"/>
      <c r="G31" s="14"/>
      <c r="H31" s="14"/>
      <c r="I31" s="14"/>
      <c r="J31" s="14"/>
      <c r="K31" s="13"/>
      <c r="L31" s="14"/>
      <c r="M31" s="14"/>
      <c r="N31" s="14"/>
      <c r="O31" s="14"/>
      <c r="P31" s="14"/>
      <c r="Q31" s="14"/>
      <c r="R31" s="14"/>
      <c r="S31" s="14"/>
      <c r="T31" s="14"/>
      <c r="U31" s="14"/>
      <c r="V31" s="14"/>
      <c r="W31" s="14"/>
      <c r="X31" s="14"/>
      <c r="Y31" s="14"/>
      <c r="Z31" s="14"/>
      <c r="AA31" s="14"/>
      <c r="AB31" s="13"/>
      <c r="AC31" s="14"/>
    </row>
    <row r="32" customFormat="1" spans="1:29">
      <c r="A32" s="23"/>
      <c r="B32" s="10"/>
      <c r="C32" s="11"/>
      <c r="D32" s="14"/>
      <c r="E32" s="14"/>
      <c r="F32" s="14"/>
      <c r="G32" s="14"/>
      <c r="H32" s="14"/>
      <c r="I32" s="14"/>
      <c r="J32" s="14"/>
      <c r="K32" s="13"/>
      <c r="L32" s="14"/>
      <c r="M32" s="14"/>
      <c r="N32" s="14"/>
      <c r="O32" s="14"/>
      <c r="P32" s="14"/>
      <c r="Q32" s="14"/>
      <c r="R32" s="14"/>
      <c r="S32" s="14"/>
      <c r="T32" s="14"/>
      <c r="U32" s="14"/>
      <c r="V32" s="14"/>
      <c r="W32" s="14"/>
      <c r="X32" s="14"/>
      <c r="Y32" s="14"/>
      <c r="Z32" s="14"/>
      <c r="AA32" s="14"/>
      <c r="AB32" s="13"/>
      <c r="AC32" s="14"/>
    </row>
    <row r="33" customFormat="1" spans="1:29">
      <c r="A33" s="23"/>
      <c r="B33" s="10"/>
      <c r="C33" s="11"/>
      <c r="D33" s="14"/>
      <c r="E33" s="14"/>
      <c r="F33" s="14"/>
      <c r="G33" s="14"/>
      <c r="H33" s="14"/>
      <c r="I33" s="14"/>
      <c r="J33" s="14"/>
      <c r="K33" s="13"/>
      <c r="L33" s="14"/>
      <c r="M33" s="14"/>
      <c r="N33" s="14"/>
      <c r="O33" s="14"/>
      <c r="P33" s="14"/>
      <c r="Q33" s="14"/>
      <c r="R33" s="14"/>
      <c r="S33" s="14"/>
      <c r="T33" s="14"/>
      <c r="U33" s="14"/>
      <c r="V33" s="14"/>
      <c r="W33" s="14"/>
      <c r="X33" s="14"/>
      <c r="Y33" s="14"/>
      <c r="Z33" s="14"/>
      <c r="AA33" s="14"/>
      <c r="AB33" s="13"/>
      <c r="AC33" s="14"/>
    </row>
    <row r="34" customFormat="1" spans="1:29">
      <c r="A34" s="23"/>
      <c r="B34" s="10"/>
      <c r="C34" s="11"/>
      <c r="D34" s="14"/>
      <c r="E34" s="14"/>
      <c r="F34" s="14"/>
      <c r="G34" s="14"/>
      <c r="H34" s="14"/>
      <c r="I34" s="14"/>
      <c r="J34" s="14"/>
      <c r="K34" s="13"/>
      <c r="L34" s="14"/>
      <c r="M34" s="14"/>
      <c r="N34" s="14"/>
      <c r="O34" s="14"/>
      <c r="P34" s="14"/>
      <c r="Q34" s="14"/>
      <c r="R34" s="14"/>
      <c r="S34" s="14"/>
      <c r="T34" s="14"/>
      <c r="U34" s="14"/>
      <c r="V34" s="14"/>
      <c r="W34" s="14"/>
      <c r="X34" s="14"/>
      <c r="Y34" s="14"/>
      <c r="Z34" s="14"/>
      <c r="AA34" s="14"/>
      <c r="AB34" s="13"/>
      <c r="AC34" s="14"/>
    </row>
    <row r="35" customFormat="1" spans="1:29">
      <c r="A35" s="23"/>
      <c r="B35" s="10"/>
      <c r="C35" s="11"/>
      <c r="D35" s="14"/>
      <c r="E35" s="14"/>
      <c r="F35" s="14"/>
      <c r="G35" s="14"/>
      <c r="H35" s="14"/>
      <c r="I35" s="14"/>
      <c r="J35" s="14"/>
      <c r="K35" s="13"/>
      <c r="L35" s="14"/>
      <c r="M35" s="14"/>
      <c r="N35" s="14"/>
      <c r="O35" s="14"/>
      <c r="P35" s="14"/>
      <c r="Q35" s="14"/>
      <c r="R35" s="14"/>
      <c r="S35" s="14"/>
      <c r="T35" s="14"/>
      <c r="U35" s="14"/>
      <c r="V35" s="14"/>
      <c r="W35" s="14"/>
      <c r="X35" s="14"/>
      <c r="Y35" s="14"/>
      <c r="Z35" s="14"/>
      <c r="AA35" s="14"/>
      <c r="AB35" s="13"/>
      <c r="AC35" s="14"/>
    </row>
    <row r="36" customFormat="1" spans="1:29">
      <c r="A36" s="23"/>
      <c r="B36" s="10"/>
      <c r="C36" s="11"/>
      <c r="D36" s="14"/>
      <c r="E36" s="14"/>
      <c r="F36" s="14"/>
      <c r="G36" s="14"/>
      <c r="H36" s="14"/>
      <c r="I36" s="14"/>
      <c r="J36" s="14"/>
      <c r="K36" s="13"/>
      <c r="L36" s="14"/>
      <c r="M36" s="14"/>
      <c r="N36" s="14"/>
      <c r="O36" s="14"/>
      <c r="P36" s="14"/>
      <c r="Q36" s="14"/>
      <c r="R36" s="14"/>
      <c r="S36" s="14"/>
      <c r="T36" s="14"/>
      <c r="U36" s="14"/>
      <c r="V36" s="14"/>
      <c r="W36" s="14"/>
      <c r="X36" s="14"/>
      <c r="Y36" s="14"/>
      <c r="Z36" s="14"/>
      <c r="AA36" s="14"/>
      <c r="AB36" s="13"/>
      <c r="AC36" s="14"/>
    </row>
    <row r="37" customFormat="1" spans="1:29">
      <c r="A37" s="23"/>
      <c r="B37" s="10"/>
      <c r="C37" s="11"/>
      <c r="D37" s="14"/>
      <c r="E37" s="14"/>
      <c r="F37" s="14"/>
      <c r="G37" s="14"/>
      <c r="H37" s="14"/>
      <c r="I37" s="14"/>
      <c r="J37" s="14"/>
      <c r="K37" s="13"/>
      <c r="L37" s="14"/>
      <c r="M37" s="14"/>
      <c r="N37" s="14"/>
      <c r="O37" s="14"/>
      <c r="P37" s="14"/>
      <c r="Q37" s="14"/>
      <c r="R37" s="14"/>
      <c r="S37" s="14"/>
      <c r="T37" s="14"/>
      <c r="U37" s="14"/>
      <c r="V37" s="14"/>
      <c r="W37" s="14"/>
      <c r="X37" s="14"/>
      <c r="Y37" s="14"/>
      <c r="Z37" s="14"/>
      <c r="AA37" s="14"/>
      <c r="AB37" s="13"/>
      <c r="AC37" s="14"/>
    </row>
    <row r="38" customFormat="1" spans="1:29">
      <c r="A38" s="23"/>
      <c r="B38" s="10"/>
      <c r="C38" s="11"/>
      <c r="D38" s="14"/>
      <c r="E38" s="14"/>
      <c r="F38" s="14"/>
      <c r="G38" s="14"/>
      <c r="H38" s="14"/>
      <c r="I38" s="14"/>
      <c r="J38" s="14"/>
      <c r="K38" s="13"/>
      <c r="L38" s="14"/>
      <c r="M38" s="14"/>
      <c r="N38" s="14"/>
      <c r="O38" s="14"/>
      <c r="P38" s="14"/>
      <c r="Q38" s="14"/>
      <c r="R38" s="14"/>
      <c r="S38" s="14"/>
      <c r="T38" s="14"/>
      <c r="U38" s="14"/>
      <c r="V38" s="14"/>
      <c r="W38" s="14"/>
      <c r="X38" s="14"/>
      <c r="Y38" s="14"/>
      <c r="Z38" s="14"/>
      <c r="AA38" s="14"/>
      <c r="AB38" s="13"/>
      <c r="AC38" s="14"/>
    </row>
    <row r="39" customFormat="1" spans="1:29">
      <c r="A39" s="23"/>
      <c r="B39" s="10"/>
      <c r="C39" s="11"/>
      <c r="D39" s="14"/>
      <c r="E39" s="14"/>
      <c r="F39" s="14"/>
      <c r="G39" s="14"/>
      <c r="H39" s="14"/>
      <c r="I39" s="14"/>
      <c r="J39" s="14"/>
      <c r="K39" s="13"/>
      <c r="L39" s="14"/>
      <c r="M39" s="14"/>
      <c r="N39" s="14"/>
      <c r="O39" s="14"/>
      <c r="P39" s="14"/>
      <c r="Q39" s="14"/>
      <c r="R39" s="14"/>
      <c r="S39" s="14"/>
      <c r="T39" s="14"/>
      <c r="U39" s="14"/>
      <c r="V39" s="14"/>
      <c r="W39" s="14"/>
      <c r="X39" s="14"/>
      <c r="Y39" s="14"/>
      <c r="Z39" s="14"/>
      <c r="AA39" s="14"/>
      <c r="AB39" s="13"/>
      <c r="AC39" s="14"/>
    </row>
    <row r="40" customFormat="1" spans="1:29">
      <c r="A40" s="23"/>
      <c r="B40" s="10"/>
      <c r="C40" s="11"/>
      <c r="D40" s="14"/>
      <c r="E40" s="14"/>
      <c r="F40" s="14"/>
      <c r="G40" s="14"/>
      <c r="H40" s="14"/>
      <c r="I40" s="14"/>
      <c r="J40" s="14"/>
      <c r="K40" s="13"/>
      <c r="L40" s="14"/>
      <c r="M40" s="14"/>
      <c r="N40" s="14"/>
      <c r="O40" s="14"/>
      <c r="P40" s="14"/>
      <c r="Q40" s="14"/>
      <c r="R40" s="14"/>
      <c r="S40" s="14"/>
      <c r="T40" s="14"/>
      <c r="U40" s="14"/>
      <c r="V40" s="14"/>
      <c r="W40" s="14"/>
      <c r="X40" s="14"/>
      <c r="Y40" s="14"/>
      <c r="Z40" s="14"/>
      <c r="AA40" s="14"/>
      <c r="AB40" s="13"/>
      <c r="AC40" s="14"/>
    </row>
    <row r="41" customFormat="1" spans="1:29">
      <c r="A41" s="23"/>
      <c r="B41" s="10"/>
      <c r="C41" s="11"/>
      <c r="D41" s="14"/>
      <c r="E41" s="14"/>
      <c r="F41" s="14"/>
      <c r="G41" s="14"/>
      <c r="H41" s="14"/>
      <c r="I41" s="14"/>
      <c r="J41" s="14"/>
      <c r="K41" s="13"/>
      <c r="L41" s="14"/>
      <c r="M41" s="14"/>
      <c r="N41" s="14"/>
      <c r="O41" s="14"/>
      <c r="P41" s="14"/>
      <c r="Q41" s="14"/>
      <c r="R41" s="14"/>
      <c r="S41" s="14"/>
      <c r="T41" s="14"/>
      <c r="U41" s="14"/>
      <c r="V41" s="14"/>
      <c r="W41" s="14"/>
      <c r="X41" s="14"/>
      <c r="Y41" s="14"/>
      <c r="Z41" s="14"/>
      <c r="AA41" s="14"/>
      <c r="AB41" s="13"/>
      <c r="AC41" s="14"/>
    </row>
    <row r="42" customFormat="1" spans="1:29">
      <c r="A42" s="23"/>
      <c r="B42" s="10"/>
      <c r="C42" s="11"/>
      <c r="D42" s="14"/>
      <c r="E42" s="14"/>
      <c r="F42" s="14"/>
      <c r="G42" s="14"/>
      <c r="H42" s="14"/>
      <c r="I42" s="14"/>
      <c r="J42" s="14"/>
      <c r="K42" s="13"/>
      <c r="L42" s="14"/>
      <c r="M42" s="14"/>
      <c r="N42" s="14"/>
      <c r="O42" s="14"/>
      <c r="P42" s="14"/>
      <c r="Q42" s="14"/>
      <c r="R42" s="14"/>
      <c r="S42" s="14"/>
      <c r="T42" s="14"/>
      <c r="U42" s="14"/>
      <c r="V42" s="14"/>
      <c r="W42" s="14"/>
      <c r="X42" s="14"/>
      <c r="Y42" s="14"/>
      <c r="Z42" s="14"/>
      <c r="AA42" s="14"/>
      <c r="AB42" s="13"/>
      <c r="AC42" s="14"/>
    </row>
    <row r="43" customFormat="1" spans="1:29">
      <c r="A43" s="23"/>
      <c r="B43" s="10"/>
      <c r="C43" s="11"/>
      <c r="D43" s="14"/>
      <c r="E43" s="14"/>
      <c r="F43" s="14"/>
      <c r="G43" s="14"/>
      <c r="H43" s="14"/>
      <c r="I43" s="14"/>
      <c r="J43" s="14"/>
      <c r="K43" s="13"/>
      <c r="L43" s="14"/>
      <c r="M43" s="14"/>
      <c r="N43" s="14"/>
      <c r="O43" s="14"/>
      <c r="P43" s="14"/>
      <c r="Q43" s="14"/>
      <c r="R43" s="14"/>
      <c r="S43" s="14"/>
      <c r="T43" s="14"/>
      <c r="U43" s="14"/>
      <c r="V43" s="14"/>
      <c r="W43" s="14"/>
      <c r="X43" s="14"/>
      <c r="Y43" s="14"/>
      <c r="Z43" s="14"/>
      <c r="AA43" s="14"/>
      <c r="AB43" s="13"/>
      <c r="AC43" s="14"/>
    </row>
    <row r="44" customFormat="1" spans="1:29">
      <c r="A44" s="23"/>
      <c r="B44" s="10"/>
      <c r="C44" s="11"/>
      <c r="D44" s="14"/>
      <c r="E44" s="14"/>
      <c r="F44" s="14"/>
      <c r="G44" s="14"/>
      <c r="H44" s="14"/>
      <c r="I44" s="14"/>
      <c r="J44" s="14"/>
      <c r="K44" s="13"/>
      <c r="L44" s="14"/>
      <c r="M44" s="14"/>
      <c r="N44" s="14"/>
      <c r="O44" s="14"/>
      <c r="P44" s="14"/>
      <c r="Q44" s="14"/>
      <c r="R44" s="14"/>
      <c r="S44" s="14"/>
      <c r="T44" s="14"/>
      <c r="U44" s="14"/>
      <c r="V44" s="14"/>
      <c r="W44" s="14"/>
      <c r="X44" s="14"/>
      <c r="Y44" s="14"/>
      <c r="Z44" s="14"/>
      <c r="AA44" s="14"/>
      <c r="AB44" s="13"/>
      <c r="AC44" s="14"/>
    </row>
    <row r="45" customFormat="1" spans="1:29">
      <c r="A45" s="23"/>
      <c r="B45" s="10"/>
      <c r="C45" s="11"/>
      <c r="D45" s="14"/>
      <c r="E45" s="14"/>
      <c r="F45" s="14"/>
      <c r="G45" s="14"/>
      <c r="H45" s="14"/>
      <c r="I45" s="14"/>
      <c r="J45" s="14"/>
      <c r="K45" s="13"/>
      <c r="L45" s="14"/>
      <c r="M45" s="14"/>
      <c r="N45" s="14"/>
      <c r="O45" s="14"/>
      <c r="P45" s="14"/>
      <c r="Q45" s="14"/>
      <c r="R45" s="14"/>
      <c r="S45" s="14"/>
      <c r="T45" s="14"/>
      <c r="U45" s="14"/>
      <c r="V45" s="14"/>
      <c r="W45" s="14"/>
      <c r="X45" s="14"/>
      <c r="Y45" s="14"/>
      <c r="Z45" s="14"/>
      <c r="AA45" s="14"/>
      <c r="AB45" s="13"/>
      <c r="AC45" s="14"/>
    </row>
    <row r="46" customFormat="1" spans="1:29">
      <c r="A46" s="23"/>
      <c r="B46" s="10"/>
      <c r="C46" s="11"/>
      <c r="D46" s="14"/>
      <c r="E46" s="14"/>
      <c r="F46" s="14"/>
      <c r="G46" s="14"/>
      <c r="H46" s="14"/>
      <c r="I46" s="14"/>
      <c r="J46" s="14"/>
      <c r="K46" s="13"/>
      <c r="L46" s="14"/>
      <c r="M46" s="14"/>
      <c r="N46" s="14"/>
      <c r="O46" s="14"/>
      <c r="P46" s="14"/>
      <c r="Q46" s="14"/>
      <c r="R46" s="14"/>
      <c r="S46" s="14"/>
      <c r="T46" s="14"/>
      <c r="U46" s="14"/>
      <c r="V46" s="14"/>
      <c r="W46" s="14"/>
      <c r="X46" s="14"/>
      <c r="Y46" s="14"/>
      <c r="Z46" s="14"/>
      <c r="AA46" s="14"/>
      <c r="AB46" s="13"/>
      <c r="AC46" s="14"/>
    </row>
    <row r="47" customFormat="1" spans="1:29">
      <c r="A47" s="23"/>
      <c r="B47" s="10"/>
      <c r="C47" s="11"/>
      <c r="D47" s="14"/>
      <c r="E47" s="14"/>
      <c r="F47" s="14"/>
      <c r="G47" s="14"/>
      <c r="H47" s="14"/>
      <c r="I47" s="14"/>
      <c r="J47" s="14"/>
      <c r="K47" s="13"/>
      <c r="L47" s="14"/>
      <c r="M47" s="14"/>
      <c r="N47" s="14"/>
      <c r="O47" s="14"/>
      <c r="P47" s="14"/>
      <c r="Q47" s="14"/>
      <c r="R47" s="14"/>
      <c r="S47" s="14"/>
      <c r="T47" s="14"/>
      <c r="U47" s="14"/>
      <c r="V47" s="14"/>
      <c r="W47" s="14"/>
      <c r="X47" s="14"/>
      <c r="Y47" s="14"/>
      <c r="Z47" s="14"/>
      <c r="AA47" s="14"/>
      <c r="AB47" s="13"/>
      <c r="AC47" s="14"/>
    </row>
    <row r="48" customFormat="1" spans="1:29">
      <c r="A48" s="23"/>
      <c r="B48" s="10"/>
      <c r="C48" s="11"/>
      <c r="D48" s="14"/>
      <c r="E48" s="14"/>
      <c r="F48" s="14"/>
      <c r="G48" s="14"/>
      <c r="H48" s="14"/>
      <c r="I48" s="14"/>
      <c r="J48" s="14"/>
      <c r="K48" s="13"/>
      <c r="L48" s="14"/>
      <c r="M48" s="14"/>
      <c r="N48" s="14"/>
      <c r="O48" s="14"/>
      <c r="P48" s="14"/>
      <c r="Q48" s="14"/>
      <c r="R48" s="14"/>
      <c r="S48" s="14"/>
      <c r="T48" s="14"/>
      <c r="U48" s="14"/>
      <c r="V48" s="14"/>
      <c r="W48" s="14"/>
      <c r="X48" s="14"/>
      <c r="Y48" s="14"/>
      <c r="Z48" s="14"/>
      <c r="AA48" s="14"/>
      <c r="AB48" s="13"/>
      <c r="AC48" s="14"/>
    </row>
    <row r="49" customFormat="1" spans="1:29">
      <c r="A49" s="23"/>
      <c r="B49" s="10"/>
      <c r="C49" s="11"/>
      <c r="D49" s="14"/>
      <c r="E49" s="14"/>
      <c r="F49" s="14"/>
      <c r="G49" s="14"/>
      <c r="H49" s="14"/>
      <c r="I49" s="14"/>
      <c r="J49" s="14"/>
      <c r="K49" s="13"/>
      <c r="L49" s="14"/>
      <c r="M49" s="14"/>
      <c r="N49" s="14"/>
      <c r="O49" s="14"/>
      <c r="P49" s="14"/>
      <c r="Q49" s="14"/>
      <c r="R49" s="14"/>
      <c r="S49" s="14"/>
      <c r="T49" s="14"/>
      <c r="U49" s="14"/>
      <c r="V49" s="14"/>
      <c r="W49" s="14"/>
      <c r="X49" s="14"/>
      <c r="Y49" s="14"/>
      <c r="Z49" s="14"/>
      <c r="AA49" s="14"/>
      <c r="AB49" s="13"/>
      <c r="AC49" s="14"/>
    </row>
    <row r="50" customFormat="1" spans="1:29">
      <c r="A50" s="23"/>
      <c r="B50" s="10"/>
      <c r="C50" s="11"/>
      <c r="D50" s="14"/>
      <c r="E50" s="14"/>
      <c r="F50" s="14"/>
      <c r="G50" s="14"/>
      <c r="H50" s="14"/>
      <c r="I50" s="14"/>
      <c r="J50" s="14"/>
      <c r="K50" s="13"/>
      <c r="L50" s="14"/>
      <c r="M50" s="14"/>
      <c r="N50" s="14"/>
      <c r="O50" s="14"/>
      <c r="P50" s="14"/>
      <c r="Q50" s="14"/>
      <c r="R50" s="14"/>
      <c r="S50" s="14"/>
      <c r="T50" s="14"/>
      <c r="U50" s="14"/>
      <c r="V50" s="14"/>
      <c r="W50" s="14"/>
      <c r="X50" s="14"/>
      <c r="Y50" s="14"/>
      <c r="Z50" s="14"/>
      <c r="AA50" s="14"/>
      <c r="AB50" s="13"/>
      <c r="AC50" s="14"/>
    </row>
    <row r="51" customFormat="1" spans="1:29">
      <c r="A51" s="23"/>
      <c r="B51" s="10"/>
      <c r="C51" s="11"/>
      <c r="D51" s="14"/>
      <c r="E51" s="14"/>
      <c r="F51" s="14"/>
      <c r="G51" s="14"/>
      <c r="H51" s="14"/>
      <c r="I51" s="14"/>
      <c r="J51" s="14"/>
      <c r="K51" s="13"/>
      <c r="L51" s="14"/>
      <c r="M51" s="14"/>
      <c r="N51" s="14"/>
      <c r="O51" s="14"/>
      <c r="P51" s="14"/>
      <c r="Q51" s="14"/>
      <c r="R51" s="14"/>
      <c r="S51" s="14"/>
      <c r="T51" s="14"/>
      <c r="U51" s="14"/>
      <c r="V51" s="14"/>
      <c r="W51" s="14"/>
      <c r="X51" s="14"/>
      <c r="Y51" s="14"/>
      <c r="Z51" s="14"/>
      <c r="AA51" s="14"/>
      <c r="AB51" s="13"/>
      <c r="AC51" s="14"/>
    </row>
    <row r="52" customFormat="1" spans="1:29">
      <c r="A52" s="23"/>
      <c r="B52" s="10"/>
      <c r="C52" s="11"/>
      <c r="D52" s="14"/>
      <c r="E52" s="14"/>
      <c r="F52" s="14"/>
      <c r="G52" s="14"/>
      <c r="H52" s="14"/>
      <c r="I52" s="14"/>
      <c r="J52" s="14"/>
      <c r="K52" s="13"/>
      <c r="L52" s="14"/>
      <c r="M52" s="14"/>
      <c r="N52" s="14"/>
      <c r="O52" s="14"/>
      <c r="P52" s="14"/>
      <c r="Q52" s="14"/>
      <c r="R52" s="14"/>
      <c r="S52" s="14"/>
      <c r="T52" s="14"/>
      <c r="U52" s="14"/>
      <c r="V52" s="14"/>
      <c r="W52" s="14"/>
      <c r="X52" s="14"/>
      <c r="Y52" s="14"/>
      <c r="Z52" s="14"/>
      <c r="AA52" s="14"/>
      <c r="AB52" s="13"/>
      <c r="AC52" s="14"/>
    </row>
    <row r="53" customFormat="1" spans="1:29">
      <c r="A53" s="23"/>
      <c r="B53" s="10"/>
      <c r="C53" s="11"/>
      <c r="D53" s="14"/>
      <c r="E53" s="14"/>
      <c r="F53" s="14"/>
      <c r="G53" s="14"/>
      <c r="H53" s="14"/>
      <c r="I53" s="14"/>
      <c r="J53" s="14"/>
      <c r="K53" s="13"/>
      <c r="L53" s="14"/>
      <c r="M53" s="14"/>
      <c r="N53" s="14"/>
      <c r="O53" s="14"/>
      <c r="P53" s="14"/>
      <c r="Q53" s="14"/>
      <c r="R53" s="14"/>
      <c r="S53" s="14"/>
      <c r="T53" s="14"/>
      <c r="U53" s="14"/>
      <c r="V53" s="14"/>
      <c r="W53" s="14"/>
      <c r="X53" s="14"/>
      <c r="Y53" s="14"/>
      <c r="Z53" s="14"/>
      <c r="AA53" s="14"/>
      <c r="AB53" s="13"/>
      <c r="AC53" s="14"/>
    </row>
    <row r="54" customFormat="1" spans="1:29">
      <c r="A54" s="23"/>
      <c r="B54" s="10"/>
      <c r="C54" s="11"/>
      <c r="D54" s="14"/>
      <c r="E54" s="14"/>
      <c r="F54" s="14"/>
      <c r="G54" s="14"/>
      <c r="H54" s="14"/>
      <c r="I54" s="14"/>
      <c r="J54" s="14"/>
      <c r="K54" s="13"/>
      <c r="L54" s="14"/>
      <c r="M54" s="14"/>
      <c r="N54" s="14"/>
      <c r="O54" s="14"/>
      <c r="P54" s="14"/>
      <c r="Q54" s="14"/>
      <c r="R54" s="14"/>
      <c r="S54" s="14"/>
      <c r="T54" s="14"/>
      <c r="U54" s="14"/>
      <c r="V54" s="14"/>
      <c r="W54" s="14"/>
      <c r="X54" s="14"/>
      <c r="Y54" s="14"/>
      <c r="Z54" s="14"/>
      <c r="AA54" s="14"/>
      <c r="AB54" s="13"/>
      <c r="AC54" s="14"/>
    </row>
    <row r="55" customFormat="1" spans="1:29">
      <c r="A55" s="23"/>
      <c r="B55" s="10"/>
      <c r="C55" s="11"/>
      <c r="D55" s="14"/>
      <c r="E55" s="14"/>
      <c r="F55" s="14"/>
      <c r="G55" s="14"/>
      <c r="H55" s="14"/>
      <c r="I55" s="14"/>
      <c r="J55" s="14"/>
      <c r="K55" s="13"/>
      <c r="L55" s="14"/>
      <c r="M55" s="14"/>
      <c r="N55" s="14"/>
      <c r="O55" s="14"/>
      <c r="P55" s="14"/>
      <c r="Q55" s="14"/>
      <c r="R55" s="14"/>
      <c r="S55" s="14"/>
      <c r="T55" s="14"/>
      <c r="U55" s="14"/>
      <c r="V55" s="14"/>
      <c r="W55" s="14"/>
      <c r="X55" s="14"/>
      <c r="Y55" s="14"/>
      <c r="Z55" s="14"/>
      <c r="AA55" s="14"/>
      <c r="AB55" s="13"/>
      <c r="AC55" s="14"/>
    </row>
    <row r="56" customFormat="1" spans="1:29">
      <c r="A56" s="23"/>
      <c r="B56" s="10"/>
      <c r="C56" s="11"/>
      <c r="D56" s="14"/>
      <c r="E56" s="14"/>
      <c r="F56" s="14"/>
      <c r="G56" s="14"/>
      <c r="H56" s="14"/>
      <c r="I56" s="14"/>
      <c r="J56" s="14"/>
      <c r="K56" s="13"/>
      <c r="L56" s="14"/>
      <c r="M56" s="14"/>
      <c r="N56" s="14"/>
      <c r="O56" s="14"/>
      <c r="P56" s="14"/>
      <c r="Q56" s="14"/>
      <c r="R56" s="14"/>
      <c r="S56" s="14"/>
      <c r="T56" s="14"/>
      <c r="U56" s="14"/>
      <c r="V56" s="14"/>
      <c r="W56" s="14"/>
      <c r="X56" s="14"/>
      <c r="Y56" s="14"/>
      <c r="Z56" s="14"/>
      <c r="AA56" s="14"/>
      <c r="AB56" s="13"/>
      <c r="AC56" s="14"/>
    </row>
    <row r="57" customFormat="1" spans="1:29">
      <c r="A57" s="23"/>
      <c r="B57" s="10"/>
      <c r="C57" s="11"/>
      <c r="D57" s="14"/>
      <c r="E57" s="14"/>
      <c r="F57" s="14"/>
      <c r="G57" s="14"/>
      <c r="H57" s="14"/>
      <c r="I57" s="14"/>
      <c r="J57" s="14"/>
      <c r="K57" s="13"/>
      <c r="L57" s="14"/>
      <c r="M57" s="14"/>
      <c r="N57" s="14"/>
      <c r="O57" s="14"/>
      <c r="P57" s="14"/>
      <c r="Q57" s="14"/>
      <c r="R57" s="14"/>
      <c r="S57" s="14"/>
      <c r="T57" s="14"/>
      <c r="U57" s="14"/>
      <c r="V57" s="14"/>
      <c r="W57" s="14"/>
      <c r="X57" s="14"/>
      <c r="Y57" s="14"/>
      <c r="Z57" s="14"/>
      <c r="AA57" s="14"/>
      <c r="AB57" s="13"/>
      <c r="AC57" s="14"/>
    </row>
    <row r="58" customFormat="1" spans="1:29">
      <c r="A58" s="23"/>
      <c r="B58" s="10"/>
      <c r="C58" s="11"/>
      <c r="D58" s="14"/>
      <c r="E58" s="14"/>
      <c r="F58" s="14"/>
      <c r="G58" s="14"/>
      <c r="H58" s="14"/>
      <c r="I58" s="14"/>
      <c r="J58" s="14"/>
      <c r="K58" s="13"/>
      <c r="L58" s="14"/>
      <c r="M58" s="14"/>
      <c r="N58" s="14"/>
      <c r="O58" s="14"/>
      <c r="P58" s="14"/>
      <c r="Q58" s="14"/>
      <c r="R58" s="14"/>
      <c r="S58" s="14"/>
      <c r="T58" s="14"/>
      <c r="U58" s="14"/>
      <c r="V58" s="14"/>
      <c r="W58" s="14"/>
      <c r="X58" s="14"/>
      <c r="Y58" s="14"/>
      <c r="Z58" s="14"/>
      <c r="AA58" s="14"/>
      <c r="AB58" s="13"/>
      <c r="AC58" s="14"/>
    </row>
    <row r="59" customFormat="1" spans="1:29">
      <c r="A59" s="23"/>
      <c r="B59" s="10"/>
      <c r="C59" s="11"/>
      <c r="D59" s="14"/>
      <c r="E59" s="14"/>
      <c r="F59" s="14"/>
      <c r="G59" s="14"/>
      <c r="H59" s="14"/>
      <c r="I59" s="14"/>
      <c r="J59" s="14"/>
      <c r="K59" s="13"/>
      <c r="L59" s="14"/>
      <c r="M59" s="14"/>
      <c r="N59" s="14"/>
      <c r="O59" s="14"/>
      <c r="P59" s="14"/>
      <c r="Q59" s="14"/>
      <c r="R59" s="14"/>
      <c r="S59" s="14"/>
      <c r="T59" s="14"/>
      <c r="U59" s="14"/>
      <c r="V59" s="14"/>
      <c r="W59" s="14"/>
      <c r="X59" s="14"/>
      <c r="Y59" s="14"/>
      <c r="Z59" s="14"/>
      <c r="AA59" s="14"/>
      <c r="AB59" s="13"/>
      <c r="AC59" s="14"/>
    </row>
    <row r="60" customFormat="1" spans="1:29">
      <c r="A60" s="23"/>
      <c r="B60" s="10"/>
      <c r="C60" s="11"/>
      <c r="D60" s="14"/>
      <c r="E60" s="14"/>
      <c r="F60" s="14"/>
      <c r="G60" s="14"/>
      <c r="H60" s="14"/>
      <c r="I60" s="14"/>
      <c r="J60" s="14"/>
      <c r="K60" s="13"/>
      <c r="L60" s="14"/>
      <c r="M60" s="14"/>
      <c r="N60" s="14"/>
      <c r="O60" s="14"/>
      <c r="P60" s="14"/>
      <c r="Q60" s="14"/>
      <c r="R60" s="14"/>
      <c r="S60" s="14"/>
      <c r="T60" s="14"/>
      <c r="U60" s="14"/>
      <c r="V60" s="14"/>
      <c r="W60" s="14"/>
      <c r="X60" s="14"/>
      <c r="Y60" s="14"/>
      <c r="Z60" s="14"/>
      <c r="AA60" s="14"/>
      <c r="AB60" s="13"/>
      <c r="AC60" s="14"/>
    </row>
    <row r="61" customFormat="1" spans="1:29">
      <c r="A61" s="23"/>
      <c r="B61" s="10"/>
      <c r="C61" s="11"/>
      <c r="D61" s="14"/>
      <c r="E61" s="14"/>
      <c r="F61" s="14"/>
      <c r="G61" s="14"/>
      <c r="H61" s="14"/>
      <c r="I61" s="14"/>
      <c r="J61" s="14"/>
      <c r="K61" s="13"/>
      <c r="L61" s="14"/>
      <c r="M61" s="14"/>
      <c r="N61" s="14"/>
      <c r="O61" s="14"/>
      <c r="P61" s="14"/>
      <c r="Q61" s="14"/>
      <c r="R61" s="14"/>
      <c r="S61" s="14"/>
      <c r="T61" s="14"/>
      <c r="U61" s="14"/>
      <c r="V61" s="14"/>
      <c r="W61" s="14"/>
      <c r="X61" s="14"/>
      <c r="Y61" s="14"/>
      <c r="Z61" s="14"/>
      <c r="AA61" s="14"/>
      <c r="AB61" s="13"/>
      <c r="AC61" s="14"/>
    </row>
    <row r="62" customFormat="1" spans="1:29">
      <c r="A62" s="23"/>
      <c r="B62" s="26"/>
      <c r="D62" s="14"/>
      <c r="E62" s="14"/>
      <c r="F62" s="14"/>
      <c r="G62" s="14"/>
      <c r="H62" s="14"/>
      <c r="I62" s="14"/>
      <c r="J62" s="14"/>
      <c r="K62" s="13"/>
      <c r="L62" s="14"/>
      <c r="M62" s="14"/>
      <c r="N62" s="14"/>
      <c r="O62" s="14"/>
      <c r="P62" s="14"/>
      <c r="Q62" s="14"/>
      <c r="R62" s="14"/>
      <c r="S62" s="14"/>
      <c r="T62" s="14"/>
      <c r="U62" s="14"/>
      <c r="V62" s="14"/>
      <c r="W62" s="14"/>
      <c r="X62" s="14"/>
      <c r="Y62" s="14"/>
      <c r="Z62" s="14"/>
      <c r="AA62" s="14"/>
      <c r="AB62" s="13"/>
      <c r="AC62" s="14"/>
    </row>
  </sheetData>
  <mergeCells count="5">
    <mergeCell ref="A1:AB1"/>
    <mergeCell ref="A3:A5"/>
    <mergeCell ref="A6:A12"/>
    <mergeCell ref="A13:A15"/>
    <mergeCell ref="A17:A1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topLeftCell="A31" workbookViewId="0">
      <selection activeCell="D52" sqref="D52"/>
    </sheetView>
  </sheetViews>
  <sheetFormatPr defaultColWidth="9.02654867256637" defaultRowHeight="13.5" outlineLevelCol="7"/>
  <cols>
    <col min="1" max="1" width="23.4336283185841" customWidth="1"/>
    <col min="6" max="6" width="14.4070796460177" customWidth="1"/>
    <col min="7" max="7" width="15.7433628318584" customWidth="1"/>
    <col min="8" max="8" width="13.0176991150442" customWidth="1"/>
  </cols>
  <sheetData>
    <row r="1" spans="1:8">
      <c r="A1" t="s">
        <v>341</v>
      </c>
      <c r="B1" t="s">
        <v>342</v>
      </c>
      <c r="C1" t="s">
        <v>343</v>
      </c>
    </row>
    <row r="2" spans="1:8">
      <c r="A2" t="s">
        <v>344</v>
      </c>
      <c r="B2">
        <v>42</v>
      </c>
      <c r="C2" t="s">
        <v>345</v>
      </c>
    </row>
    <row r="3" spans="1:8">
      <c r="A3" t="s">
        <v>346</v>
      </c>
      <c r="B3">
        <v>78</v>
      </c>
      <c r="C3" t="s">
        <v>347</v>
      </c>
    </row>
    <row r="4" spans="1:8">
      <c r="A4" t="s">
        <v>348</v>
      </c>
      <c r="B4">
        <v>24</v>
      </c>
      <c r="C4" t="s">
        <v>349</v>
      </c>
      <c r="F4" s="14" t="s">
        <v>134</v>
      </c>
      <c r="G4" s="14" t="s">
        <v>293</v>
      </c>
      <c r="H4" s="14" t="s">
        <v>336</v>
      </c>
    </row>
    <row r="5" spans="1:8">
      <c r="A5" t="s">
        <v>350</v>
      </c>
      <c r="B5">
        <v>26</v>
      </c>
      <c r="C5" t="s">
        <v>351</v>
      </c>
      <c r="F5" s="14" t="s">
        <v>135</v>
      </c>
      <c r="G5" s="14" t="s">
        <v>135</v>
      </c>
      <c r="H5" s="14" t="s">
        <v>188</v>
      </c>
    </row>
    <row r="6" spans="1:8">
      <c r="A6" t="s">
        <v>352</v>
      </c>
      <c r="B6">
        <v>52</v>
      </c>
      <c r="C6" t="s">
        <v>353</v>
      </c>
      <c r="F6" s="14" t="s">
        <v>136</v>
      </c>
      <c r="G6" s="14" t="s">
        <v>294</v>
      </c>
      <c r="H6" s="14" t="s">
        <v>337</v>
      </c>
    </row>
    <row r="7" spans="1:8">
      <c r="A7" t="s">
        <v>354</v>
      </c>
      <c r="B7">
        <v>18</v>
      </c>
      <c r="C7" t="s">
        <v>355</v>
      </c>
      <c r="F7" s="14" t="s">
        <v>137</v>
      </c>
      <c r="G7" s="14" t="s">
        <v>295</v>
      </c>
      <c r="H7" s="14" t="s">
        <v>338</v>
      </c>
    </row>
    <row r="8" spans="1:8">
      <c r="A8" t="s">
        <v>356</v>
      </c>
      <c r="B8">
        <v>44</v>
      </c>
      <c r="C8" t="s">
        <v>357</v>
      </c>
      <c r="F8" s="14" t="s">
        <v>138</v>
      </c>
      <c r="G8" s="14" t="s">
        <v>191</v>
      </c>
      <c r="H8" s="14" t="s">
        <v>339</v>
      </c>
    </row>
    <row r="9" spans="1:8">
      <c r="F9" s="14" t="s">
        <v>139</v>
      </c>
      <c r="G9" s="14" t="s">
        <v>139</v>
      </c>
      <c r="H9" s="14" t="s">
        <v>340</v>
      </c>
    </row>
    <row r="10" spans="1:8">
      <c r="A10" t="s">
        <v>358</v>
      </c>
      <c r="B10" t="s">
        <v>342</v>
      </c>
      <c r="C10" t="s">
        <v>343</v>
      </c>
    </row>
    <row r="11" spans="1:8">
      <c r="A11" t="s">
        <v>344</v>
      </c>
      <c r="B11">
        <v>8</v>
      </c>
      <c r="C11" s="25" t="s">
        <v>359</v>
      </c>
    </row>
    <row r="12" spans="1:8">
      <c r="A12" t="s">
        <v>346</v>
      </c>
      <c r="B12">
        <v>9</v>
      </c>
      <c r="C12" s="25" t="s">
        <v>360</v>
      </c>
    </row>
    <row r="13" spans="1:8">
      <c r="A13" t="s">
        <v>348</v>
      </c>
      <c r="B13">
        <v>3</v>
      </c>
      <c r="C13" s="25" t="s">
        <v>361</v>
      </c>
    </row>
    <row r="14" spans="1:8">
      <c r="A14" t="s">
        <v>350</v>
      </c>
      <c r="B14">
        <v>4</v>
      </c>
      <c r="C14" s="25" t="s">
        <v>362</v>
      </c>
    </row>
    <row r="15" spans="1:8">
      <c r="A15" t="s">
        <v>352</v>
      </c>
      <c r="B15">
        <v>4</v>
      </c>
      <c r="C15" s="25" t="s">
        <v>363</v>
      </c>
    </row>
    <row r="16" spans="1:8">
      <c r="A16" t="s">
        <v>354</v>
      </c>
      <c r="B16">
        <v>5</v>
      </c>
      <c r="C16" s="25" t="s">
        <v>364</v>
      </c>
    </row>
    <row r="17" spans="1:3">
      <c r="A17" t="s">
        <v>356</v>
      </c>
      <c r="B17">
        <v>9</v>
      </c>
      <c r="C17" s="25" t="s">
        <v>360</v>
      </c>
    </row>
    <row r="19" spans="1:3">
      <c r="A19" t="s">
        <v>365</v>
      </c>
      <c r="B19" t="s">
        <v>342</v>
      </c>
      <c r="C19" t="s">
        <v>343</v>
      </c>
    </row>
    <row r="20" spans="1:3">
      <c r="A20" t="s">
        <v>344</v>
      </c>
      <c r="B20">
        <v>14</v>
      </c>
      <c r="C20" s="25" t="s">
        <v>366</v>
      </c>
    </row>
    <row r="21" spans="1:3">
      <c r="A21" t="s">
        <v>346</v>
      </c>
      <c r="B21">
        <v>29</v>
      </c>
      <c r="C21" t="s">
        <v>367</v>
      </c>
    </row>
    <row r="22" spans="1:3">
      <c r="A22" t="s">
        <v>348</v>
      </c>
      <c r="B22">
        <v>10</v>
      </c>
      <c r="C22" s="25" t="s">
        <v>368</v>
      </c>
    </row>
    <row r="23" spans="1:3">
      <c r="A23" t="s">
        <v>350</v>
      </c>
      <c r="B23">
        <v>8</v>
      </c>
      <c r="C23" s="25" t="s">
        <v>369</v>
      </c>
    </row>
    <row r="24" spans="1:3">
      <c r="A24" t="s">
        <v>352</v>
      </c>
      <c r="B24">
        <v>21</v>
      </c>
      <c r="C24" s="25" t="s">
        <v>370</v>
      </c>
    </row>
    <row r="25" spans="1:3">
      <c r="A25" t="s">
        <v>354</v>
      </c>
      <c r="B25">
        <v>4</v>
      </c>
      <c r="C25" s="25" t="s">
        <v>371</v>
      </c>
    </row>
    <row r="26" spans="1:3">
      <c r="A26" t="s">
        <v>356</v>
      </c>
      <c r="B26">
        <v>12</v>
      </c>
      <c r="C26" s="25" t="s">
        <v>372</v>
      </c>
    </row>
    <row r="28" spans="1:3">
      <c r="A28" t="s">
        <v>373</v>
      </c>
      <c r="B28" t="s">
        <v>342</v>
      </c>
      <c r="C28" t="s">
        <v>343</v>
      </c>
    </row>
    <row r="29" spans="1:3">
      <c r="A29" t="s">
        <v>344</v>
      </c>
      <c r="B29">
        <v>7</v>
      </c>
      <c r="C29" s="25" t="s">
        <v>374</v>
      </c>
    </row>
    <row r="30" spans="1:3">
      <c r="A30" t="s">
        <v>346</v>
      </c>
      <c r="B30">
        <v>25</v>
      </c>
      <c r="C30" t="s">
        <v>375</v>
      </c>
    </row>
    <row r="31" spans="1:3">
      <c r="A31" t="s">
        <v>348</v>
      </c>
      <c r="B31">
        <v>7</v>
      </c>
      <c r="C31" s="25" t="s">
        <v>376</v>
      </c>
    </row>
    <row r="32" spans="1:3">
      <c r="A32" t="s">
        <v>350</v>
      </c>
      <c r="B32">
        <v>7</v>
      </c>
      <c r="C32" s="25" t="s">
        <v>376</v>
      </c>
    </row>
    <row r="33" spans="1:3">
      <c r="A33" t="s">
        <v>352</v>
      </c>
      <c r="B33">
        <v>18</v>
      </c>
      <c r="C33" s="25" t="s">
        <v>377</v>
      </c>
    </row>
    <row r="34" spans="1:3">
      <c r="A34" t="s">
        <v>354</v>
      </c>
      <c r="B34">
        <v>0</v>
      </c>
      <c r="C34" s="25" t="s">
        <v>378</v>
      </c>
    </row>
    <row r="35" spans="1:3">
      <c r="A35" t="s">
        <v>356</v>
      </c>
      <c r="B35">
        <v>7</v>
      </c>
      <c r="C35" s="25" t="s">
        <v>374</v>
      </c>
    </row>
    <row r="37" spans="1:3">
      <c r="A37" t="s">
        <v>379</v>
      </c>
      <c r="B37" t="s">
        <v>342</v>
      </c>
      <c r="C37" t="s">
        <v>343</v>
      </c>
    </row>
    <row r="38" spans="1:3">
      <c r="A38" t="s">
        <v>344</v>
      </c>
      <c r="B38">
        <v>5</v>
      </c>
      <c r="C38" s="25" t="s">
        <v>380</v>
      </c>
    </row>
    <row r="39" spans="1:3">
      <c r="A39" t="s">
        <v>346</v>
      </c>
      <c r="B39">
        <v>4</v>
      </c>
      <c r="C39" s="25" t="s">
        <v>381</v>
      </c>
    </row>
    <row r="40" spans="1:3">
      <c r="A40" t="s">
        <v>348</v>
      </c>
      <c r="B40">
        <v>2</v>
      </c>
      <c r="C40" s="25" t="s">
        <v>382</v>
      </c>
    </row>
    <row r="41" spans="1:3">
      <c r="A41" t="s">
        <v>350</v>
      </c>
      <c r="B41">
        <v>1</v>
      </c>
      <c r="C41" s="25" t="s">
        <v>383</v>
      </c>
    </row>
    <row r="42" spans="1:3">
      <c r="A42" t="s">
        <v>352</v>
      </c>
      <c r="B42">
        <v>3</v>
      </c>
      <c r="C42" s="25" t="s">
        <v>384</v>
      </c>
    </row>
    <row r="43" spans="1:3">
      <c r="A43" t="s">
        <v>354</v>
      </c>
      <c r="B43">
        <v>3</v>
      </c>
      <c r="C43" s="25" t="s">
        <v>384</v>
      </c>
    </row>
    <row r="44" spans="1:3">
      <c r="A44" t="s">
        <v>356</v>
      </c>
      <c r="B44">
        <v>4</v>
      </c>
      <c r="C44" s="25" t="s">
        <v>381</v>
      </c>
    </row>
    <row r="46" spans="1:3">
      <c r="A46" t="s">
        <v>385</v>
      </c>
      <c r="B46" t="s">
        <v>342</v>
      </c>
      <c r="C46" t="s">
        <v>343</v>
      </c>
    </row>
    <row r="47" spans="1:3">
      <c r="A47" t="s">
        <v>344</v>
      </c>
      <c r="B47">
        <v>8</v>
      </c>
      <c r="C47" s="25" t="s">
        <v>386</v>
      </c>
    </row>
    <row r="48" spans="1:3">
      <c r="A48" t="s">
        <v>346</v>
      </c>
      <c r="B48">
        <v>11</v>
      </c>
      <c r="C48" s="25" t="s">
        <v>387</v>
      </c>
    </row>
    <row r="49" spans="1:3">
      <c r="A49" t="s">
        <v>348</v>
      </c>
      <c r="B49">
        <v>2</v>
      </c>
      <c r="C49" s="25" t="s">
        <v>388</v>
      </c>
    </row>
    <row r="50" spans="1:3">
      <c r="A50" t="s">
        <v>350</v>
      </c>
      <c r="B50">
        <v>6</v>
      </c>
      <c r="C50" s="25" t="s">
        <v>389</v>
      </c>
    </row>
    <row r="51" spans="1:3">
      <c r="A51" t="s">
        <v>352</v>
      </c>
      <c r="B51">
        <v>5</v>
      </c>
      <c r="C51" s="25" t="s">
        <v>390</v>
      </c>
    </row>
    <row r="52" spans="1:3">
      <c r="A52" t="s">
        <v>354</v>
      </c>
      <c r="B52">
        <v>6</v>
      </c>
      <c r="C52" s="25" t="s">
        <v>391</v>
      </c>
    </row>
    <row r="53" spans="1:3">
      <c r="A53" t="s">
        <v>356</v>
      </c>
      <c r="B53">
        <v>12</v>
      </c>
      <c r="C53" s="25" t="s">
        <v>392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1"/>
  <sheetViews>
    <sheetView zoomScale="40" zoomScaleNormal="40" topLeftCell="A44" workbookViewId="0">
      <selection activeCell="AC44" sqref="AC$1:AC$1048576"/>
    </sheetView>
  </sheetViews>
  <sheetFormatPr defaultColWidth="9.02654867256637" defaultRowHeight="13.5"/>
  <cols>
    <col min="2" max="2" width="37.2477876106195" customWidth="1"/>
    <col min="3" max="3" width="44.2743362831858" customWidth="1"/>
    <col min="4" max="6" width="12.7964601769912"/>
    <col min="9" max="14" width="12.7964601769912"/>
    <col min="16" max="18" width="12.7964601769912"/>
    <col min="21" max="25" width="12.7964601769912"/>
    <col min="27"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t="s">
        <v>142</v>
      </c>
      <c r="B3" s="10" t="s">
        <v>28</v>
      </c>
      <c r="C3" s="11" t="s">
        <v>29</v>
      </c>
      <c r="D3" s="12">
        <v>5</v>
      </c>
      <c r="E3" s="12">
        <v>5</v>
      </c>
      <c r="F3" s="12">
        <v>5</v>
      </c>
      <c r="G3" s="12">
        <v>4</v>
      </c>
      <c r="H3" s="12">
        <v>5</v>
      </c>
      <c r="I3" s="12">
        <v>5</v>
      </c>
      <c r="J3" s="12">
        <v>5</v>
      </c>
      <c r="K3" s="13">
        <f t="shared" ref="K3:K9"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9" si="1">SUM(L3:AA3)</f>
        <v>59</v>
      </c>
      <c r="AC3" s="14"/>
    </row>
    <row r="4" ht="94.5" spans="1:29">
      <c r="A4" s="15"/>
      <c r="B4" s="10" t="s">
        <v>31</v>
      </c>
      <c r="C4" s="11" t="s">
        <v>32</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14"/>
    </row>
    <row r="5" ht="108" customHeight="1" spans="1:29">
      <c r="A5" s="15"/>
      <c r="B5" s="10" t="s">
        <v>33</v>
      </c>
      <c r="C5" s="11" t="s">
        <v>34</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14"/>
    </row>
    <row r="6" ht="94.5" spans="1:29">
      <c r="A6" s="15"/>
      <c r="B6" s="10" t="s">
        <v>35</v>
      </c>
      <c r="C6" s="11" t="s">
        <v>36</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14"/>
    </row>
    <row r="7" ht="94.5" spans="1:29">
      <c r="A7" s="15"/>
      <c r="B7" s="10" t="s">
        <v>37</v>
      </c>
      <c r="C7" s="11" t="s">
        <v>38</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14"/>
    </row>
    <row r="8" ht="108" customHeight="1" spans="1:29">
      <c r="A8" s="15"/>
      <c r="B8" s="10" t="s">
        <v>40</v>
      </c>
      <c r="C8" s="11" t="s">
        <v>41</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13"/>
    </row>
    <row r="9" ht="94.5" spans="1:29">
      <c r="A9" s="15"/>
      <c r="B9" s="10" t="s">
        <v>42</v>
      </c>
      <c r="C9" s="11" t="s">
        <v>43</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14"/>
    </row>
    <row r="10" spans="1:29">
      <c r="D10">
        <f>AVERAGE(D3:D9)</f>
        <v>4.85714285714286</v>
      </c>
      <c r="E10">
        <f t="shared" ref="E10:AB10" si="2">AVERAGE(E3:E9)</f>
        <v>5</v>
      </c>
      <c r="F10">
        <f t="shared" si="2"/>
        <v>5</v>
      </c>
      <c r="G10">
        <f t="shared" si="2"/>
        <v>4</v>
      </c>
      <c r="H10">
        <f t="shared" si="2"/>
        <v>4.85714285714286</v>
      </c>
      <c r="I10">
        <f t="shared" si="2"/>
        <v>4.85714285714286</v>
      </c>
      <c r="J10">
        <f t="shared" si="2"/>
        <v>4.85714285714286</v>
      </c>
      <c r="K10">
        <f t="shared" si="2"/>
        <v>33.4285714285714</v>
      </c>
      <c r="L10">
        <f t="shared" si="2"/>
        <v>5</v>
      </c>
      <c r="M10">
        <f t="shared" si="2"/>
        <v>4.85714285714286</v>
      </c>
      <c r="N10">
        <f t="shared" si="2"/>
        <v>3</v>
      </c>
      <c r="O10">
        <f t="shared" si="2"/>
        <v>5</v>
      </c>
      <c r="P10">
        <f t="shared" si="2"/>
        <v>1</v>
      </c>
      <c r="Q10">
        <f t="shared" si="2"/>
        <v>3.85714285714286</v>
      </c>
      <c r="R10">
        <f t="shared" si="2"/>
        <v>3.71428571428571</v>
      </c>
      <c r="S10">
        <f t="shared" si="2"/>
        <v>4.71428571428571</v>
      </c>
      <c r="T10">
        <f t="shared" si="2"/>
        <v>5</v>
      </c>
      <c r="U10">
        <f t="shared" si="2"/>
        <v>5</v>
      </c>
      <c r="V10">
        <f t="shared" si="2"/>
        <v>5</v>
      </c>
      <c r="W10">
        <f t="shared" si="2"/>
        <v>1.57142857142857</v>
      </c>
      <c r="X10">
        <f t="shared" si="2"/>
        <v>1</v>
      </c>
      <c r="Y10">
        <f t="shared" si="2"/>
        <v>2.71428571428571</v>
      </c>
      <c r="Z10">
        <f t="shared" si="2"/>
        <v>3</v>
      </c>
      <c r="AA10">
        <f t="shared" si="2"/>
        <v>2.71428571428571</v>
      </c>
      <c r="AB10">
        <f t="shared" si="2"/>
        <v>57.1428571428571</v>
      </c>
    </row>
    <row r="12" ht="216" spans="1:29">
      <c r="A12" s="15" t="s">
        <v>44</v>
      </c>
      <c r="B12" s="10" t="s">
        <v>45</v>
      </c>
      <c r="C12" s="11" t="s">
        <v>46</v>
      </c>
      <c r="D12" s="12">
        <v>5</v>
      </c>
      <c r="E12" s="12">
        <v>4</v>
      </c>
      <c r="F12" s="12">
        <v>5</v>
      </c>
      <c r="G12" s="12">
        <v>5</v>
      </c>
      <c r="H12" s="12">
        <v>4</v>
      </c>
      <c r="I12" s="12">
        <v>5</v>
      </c>
      <c r="J12" s="12">
        <v>5</v>
      </c>
      <c r="K12" s="13">
        <f t="shared" ref="K12:K29" si="3">SUM(D12:J12)</f>
        <v>33</v>
      </c>
      <c r="L12" s="12">
        <v>5</v>
      </c>
      <c r="M12" s="12">
        <v>5</v>
      </c>
      <c r="N12" s="12">
        <v>3</v>
      </c>
      <c r="O12" s="12">
        <v>5</v>
      </c>
      <c r="P12" s="12">
        <v>4</v>
      </c>
      <c r="Q12" s="12">
        <v>3</v>
      </c>
      <c r="R12" s="12">
        <v>3</v>
      </c>
      <c r="S12" s="12">
        <v>5</v>
      </c>
      <c r="T12" s="12">
        <v>3</v>
      </c>
      <c r="U12" s="12">
        <v>5</v>
      </c>
      <c r="V12" s="12">
        <v>5</v>
      </c>
      <c r="W12" s="12">
        <v>5</v>
      </c>
      <c r="X12" s="12">
        <v>3</v>
      </c>
      <c r="Y12" s="12">
        <v>4</v>
      </c>
      <c r="Z12" s="12">
        <v>3</v>
      </c>
      <c r="AA12" s="12">
        <v>4</v>
      </c>
      <c r="AB12" s="13">
        <f t="shared" ref="AB12:AB29" si="4">SUM(L12:AA12)</f>
        <v>65</v>
      </c>
      <c r="AC12" s="13"/>
    </row>
    <row r="13" ht="148.5" spans="1:29">
      <c r="A13" s="15"/>
      <c r="B13" s="10" t="s">
        <v>47</v>
      </c>
      <c r="C13" s="11" t="s">
        <v>48</v>
      </c>
      <c r="D13" s="12">
        <v>5</v>
      </c>
      <c r="E13" s="12">
        <v>5</v>
      </c>
      <c r="F13" s="12">
        <v>5</v>
      </c>
      <c r="G13" s="12">
        <v>5</v>
      </c>
      <c r="H13" s="12">
        <v>4</v>
      </c>
      <c r="I13" s="12">
        <v>5</v>
      </c>
      <c r="J13" s="12">
        <v>5</v>
      </c>
      <c r="K13" s="13">
        <f t="shared" si="3"/>
        <v>34</v>
      </c>
      <c r="L13" s="12">
        <v>5</v>
      </c>
      <c r="M13" s="12">
        <v>5</v>
      </c>
      <c r="N13" s="12">
        <v>3</v>
      </c>
      <c r="O13" s="12">
        <v>5</v>
      </c>
      <c r="P13" s="12">
        <v>1</v>
      </c>
      <c r="Q13" s="12">
        <v>4</v>
      </c>
      <c r="R13" s="12">
        <v>4</v>
      </c>
      <c r="S13" s="12">
        <v>5</v>
      </c>
      <c r="T13" s="12">
        <v>5</v>
      </c>
      <c r="U13" s="12">
        <v>5</v>
      </c>
      <c r="V13" s="12">
        <v>5</v>
      </c>
      <c r="W13" s="12">
        <v>3</v>
      </c>
      <c r="X13" s="12">
        <v>1</v>
      </c>
      <c r="Y13" s="12">
        <v>3</v>
      </c>
      <c r="Z13" s="12">
        <v>3</v>
      </c>
      <c r="AA13" s="12">
        <v>3</v>
      </c>
      <c r="AB13" s="13">
        <f t="shared" si="4"/>
        <v>60</v>
      </c>
      <c r="AC13" s="14"/>
    </row>
    <row r="14" ht="135" spans="1:29">
      <c r="A14" s="15"/>
      <c r="B14" s="10" t="s">
        <v>49</v>
      </c>
      <c r="C14" s="11" t="s">
        <v>50</v>
      </c>
      <c r="D14" s="12">
        <v>5</v>
      </c>
      <c r="E14" s="12">
        <v>5</v>
      </c>
      <c r="F14" s="12">
        <v>5</v>
      </c>
      <c r="G14" s="12">
        <v>5</v>
      </c>
      <c r="H14" s="12">
        <v>5</v>
      </c>
      <c r="I14" s="12">
        <v>5</v>
      </c>
      <c r="J14" s="12">
        <v>5</v>
      </c>
      <c r="K14" s="13">
        <f t="shared" si="3"/>
        <v>35</v>
      </c>
      <c r="L14" s="12">
        <v>5</v>
      </c>
      <c r="M14" s="12">
        <v>5</v>
      </c>
      <c r="N14" s="12">
        <v>3</v>
      </c>
      <c r="O14" s="12">
        <v>5</v>
      </c>
      <c r="P14" s="12">
        <v>2</v>
      </c>
      <c r="Q14" s="12">
        <v>4</v>
      </c>
      <c r="R14" s="12">
        <v>3</v>
      </c>
      <c r="S14" s="12">
        <v>5</v>
      </c>
      <c r="T14" s="12">
        <v>5</v>
      </c>
      <c r="U14" s="12">
        <v>5</v>
      </c>
      <c r="V14" s="12">
        <v>5</v>
      </c>
      <c r="W14" s="12">
        <v>3</v>
      </c>
      <c r="X14" s="12">
        <v>2</v>
      </c>
      <c r="Y14" s="12">
        <v>3</v>
      </c>
      <c r="Z14" s="12">
        <v>3</v>
      </c>
      <c r="AA14" s="12">
        <v>3</v>
      </c>
      <c r="AB14" s="13">
        <f t="shared" si="4"/>
        <v>61</v>
      </c>
      <c r="AC14" s="14"/>
    </row>
    <row r="15" ht="135" spans="1:29">
      <c r="A15" s="15"/>
      <c r="B15" s="10" t="s">
        <v>51</v>
      </c>
      <c r="C15" s="11" t="s">
        <v>52</v>
      </c>
      <c r="D15" s="12">
        <v>5</v>
      </c>
      <c r="E15" s="12">
        <v>5</v>
      </c>
      <c r="F15" s="12">
        <v>5</v>
      </c>
      <c r="G15" s="12">
        <v>5</v>
      </c>
      <c r="H15" s="12">
        <v>5</v>
      </c>
      <c r="I15" s="12">
        <v>5</v>
      </c>
      <c r="J15" s="12">
        <v>5</v>
      </c>
      <c r="K15" s="13">
        <f t="shared" si="3"/>
        <v>35</v>
      </c>
      <c r="L15" s="12">
        <v>5</v>
      </c>
      <c r="M15" s="12">
        <v>5</v>
      </c>
      <c r="N15" s="12">
        <v>3</v>
      </c>
      <c r="O15" s="12">
        <v>5</v>
      </c>
      <c r="P15" s="12">
        <v>2</v>
      </c>
      <c r="Q15" s="12">
        <v>4</v>
      </c>
      <c r="R15" s="12">
        <v>3</v>
      </c>
      <c r="S15" s="12">
        <v>5</v>
      </c>
      <c r="T15" s="12">
        <v>5</v>
      </c>
      <c r="U15" s="12">
        <v>5</v>
      </c>
      <c r="V15" s="12">
        <v>5</v>
      </c>
      <c r="W15" s="12">
        <v>2</v>
      </c>
      <c r="X15" s="12">
        <v>2</v>
      </c>
      <c r="Y15" s="12">
        <v>3</v>
      </c>
      <c r="Z15" s="12">
        <v>3</v>
      </c>
      <c r="AA15" s="12">
        <v>3</v>
      </c>
      <c r="AB15" s="13">
        <f t="shared" si="4"/>
        <v>60</v>
      </c>
      <c r="AC15" s="14"/>
    </row>
    <row r="16" ht="98" customHeight="1" spans="1:29">
      <c r="A16" s="15"/>
      <c r="B16" s="10" t="s">
        <v>53</v>
      </c>
      <c r="C16" s="11" t="s">
        <v>54</v>
      </c>
      <c r="D16" s="12">
        <v>5</v>
      </c>
      <c r="E16" s="12">
        <v>5</v>
      </c>
      <c r="F16" s="12">
        <v>5</v>
      </c>
      <c r="G16" s="12">
        <v>5</v>
      </c>
      <c r="H16" s="12">
        <v>5</v>
      </c>
      <c r="I16" s="12">
        <v>5</v>
      </c>
      <c r="J16" s="12">
        <v>5</v>
      </c>
      <c r="K16" s="13">
        <f t="shared" si="3"/>
        <v>35</v>
      </c>
      <c r="L16" s="12">
        <v>5</v>
      </c>
      <c r="M16" s="12">
        <v>5</v>
      </c>
      <c r="N16" s="12">
        <v>3</v>
      </c>
      <c r="O16" s="12">
        <v>5</v>
      </c>
      <c r="P16" s="12">
        <v>1</v>
      </c>
      <c r="Q16" s="12">
        <v>4</v>
      </c>
      <c r="R16" s="12">
        <v>4</v>
      </c>
      <c r="S16" s="12">
        <v>5</v>
      </c>
      <c r="T16" s="12">
        <v>5</v>
      </c>
      <c r="U16" s="12">
        <v>5</v>
      </c>
      <c r="V16" s="12">
        <v>5</v>
      </c>
      <c r="W16" s="12">
        <v>3</v>
      </c>
      <c r="X16" s="12">
        <v>2</v>
      </c>
      <c r="Y16" s="12">
        <v>3</v>
      </c>
      <c r="Z16" s="12">
        <v>3</v>
      </c>
      <c r="AA16" s="12">
        <v>3</v>
      </c>
      <c r="AB16" s="13">
        <f t="shared" si="4"/>
        <v>61</v>
      </c>
      <c r="AC16" s="14"/>
    </row>
    <row r="17" ht="148.5" spans="1:29">
      <c r="A17" s="15"/>
      <c r="B17" s="10" t="s">
        <v>55</v>
      </c>
      <c r="C17" s="11" t="s">
        <v>56</v>
      </c>
      <c r="D17" s="12">
        <v>4</v>
      </c>
      <c r="E17" s="12">
        <v>5</v>
      </c>
      <c r="F17" s="12">
        <v>4</v>
      </c>
      <c r="G17" s="12">
        <v>5</v>
      </c>
      <c r="H17" s="12">
        <v>5</v>
      </c>
      <c r="I17" s="12">
        <v>5</v>
      </c>
      <c r="J17" s="12">
        <v>5</v>
      </c>
      <c r="K17" s="13">
        <f t="shared" si="3"/>
        <v>33</v>
      </c>
      <c r="L17" s="12">
        <v>5</v>
      </c>
      <c r="M17" s="12">
        <v>5</v>
      </c>
      <c r="N17" s="12">
        <v>3</v>
      </c>
      <c r="O17" s="12">
        <v>5</v>
      </c>
      <c r="P17" s="12">
        <v>1</v>
      </c>
      <c r="Q17" s="12">
        <v>4</v>
      </c>
      <c r="R17" s="12">
        <v>4</v>
      </c>
      <c r="S17" s="12">
        <v>5</v>
      </c>
      <c r="T17" s="12">
        <v>5</v>
      </c>
      <c r="U17" s="12">
        <v>5</v>
      </c>
      <c r="V17" s="12">
        <v>5</v>
      </c>
      <c r="W17" s="12">
        <v>3</v>
      </c>
      <c r="X17" s="12">
        <v>2</v>
      </c>
      <c r="Y17" s="12">
        <v>4</v>
      </c>
      <c r="Z17" s="12">
        <v>3</v>
      </c>
      <c r="AA17" s="12">
        <v>4</v>
      </c>
      <c r="AB17" s="13">
        <f t="shared" si="4"/>
        <v>63</v>
      </c>
      <c r="AC17" s="14"/>
    </row>
    <row r="18" ht="121.5" spans="1:29">
      <c r="A18" s="15"/>
      <c r="B18" s="10" t="s">
        <v>57</v>
      </c>
      <c r="C18" s="11" t="s">
        <v>58</v>
      </c>
      <c r="D18" s="12">
        <v>5</v>
      </c>
      <c r="E18" s="12">
        <v>5</v>
      </c>
      <c r="F18" s="12">
        <v>5</v>
      </c>
      <c r="G18" s="12">
        <v>5</v>
      </c>
      <c r="H18" s="12">
        <v>5</v>
      </c>
      <c r="I18" s="12">
        <v>5</v>
      </c>
      <c r="J18" s="12">
        <v>5</v>
      </c>
      <c r="K18" s="13">
        <f t="shared" si="3"/>
        <v>35</v>
      </c>
      <c r="L18" s="12">
        <v>5</v>
      </c>
      <c r="M18" s="12">
        <v>5</v>
      </c>
      <c r="N18" s="12">
        <v>3</v>
      </c>
      <c r="O18" s="12">
        <v>5</v>
      </c>
      <c r="P18" s="12">
        <v>2</v>
      </c>
      <c r="Q18" s="12">
        <v>4</v>
      </c>
      <c r="R18" s="12">
        <v>4</v>
      </c>
      <c r="S18" s="12">
        <v>5</v>
      </c>
      <c r="T18" s="12">
        <v>5</v>
      </c>
      <c r="U18" s="12">
        <v>5</v>
      </c>
      <c r="V18" s="12">
        <v>5</v>
      </c>
      <c r="W18" s="12">
        <v>3</v>
      </c>
      <c r="X18" s="12">
        <v>2</v>
      </c>
      <c r="Y18" s="12">
        <v>3</v>
      </c>
      <c r="Z18" s="12">
        <v>3</v>
      </c>
      <c r="AA18" s="12">
        <v>3</v>
      </c>
      <c r="AB18" s="13">
        <f t="shared" si="4"/>
        <v>62</v>
      </c>
      <c r="AC18" s="14"/>
    </row>
    <row r="19" ht="135" spans="1:29">
      <c r="A19" s="15"/>
      <c r="B19" s="10" t="s">
        <v>59</v>
      </c>
      <c r="C19" s="11" t="s">
        <v>60</v>
      </c>
      <c r="D19" s="12">
        <v>5</v>
      </c>
      <c r="E19" s="12">
        <v>5</v>
      </c>
      <c r="F19" s="12">
        <v>5</v>
      </c>
      <c r="G19" s="12">
        <v>5</v>
      </c>
      <c r="H19" s="12">
        <v>5</v>
      </c>
      <c r="I19" s="12">
        <v>5</v>
      </c>
      <c r="J19" s="12">
        <v>5</v>
      </c>
      <c r="K19" s="13">
        <f t="shared" si="3"/>
        <v>35</v>
      </c>
      <c r="L19" s="12">
        <v>5</v>
      </c>
      <c r="M19" s="12">
        <v>5</v>
      </c>
      <c r="N19" s="12">
        <v>3</v>
      </c>
      <c r="O19" s="12">
        <v>5</v>
      </c>
      <c r="P19" s="12">
        <v>2</v>
      </c>
      <c r="Q19" s="12">
        <v>4</v>
      </c>
      <c r="R19" s="12">
        <v>4</v>
      </c>
      <c r="S19" s="12">
        <v>5</v>
      </c>
      <c r="T19" s="12">
        <v>5</v>
      </c>
      <c r="U19" s="12">
        <v>5</v>
      </c>
      <c r="V19" s="12">
        <v>5</v>
      </c>
      <c r="W19" s="12">
        <v>4</v>
      </c>
      <c r="X19" s="12">
        <v>3</v>
      </c>
      <c r="Y19" s="12">
        <v>4</v>
      </c>
      <c r="Z19" s="12">
        <v>3</v>
      </c>
      <c r="AA19" s="12">
        <v>4</v>
      </c>
      <c r="AB19" s="13">
        <f t="shared" si="4"/>
        <v>66</v>
      </c>
      <c r="AC19" s="14"/>
    </row>
    <row r="20" ht="121.5" spans="1:29">
      <c r="A20" s="15"/>
      <c r="B20" s="10" t="s">
        <v>61</v>
      </c>
      <c r="C20" s="11" t="s">
        <v>62</v>
      </c>
      <c r="D20" s="12">
        <v>5</v>
      </c>
      <c r="E20" s="12">
        <v>5</v>
      </c>
      <c r="F20" s="12">
        <v>5</v>
      </c>
      <c r="G20" s="12">
        <v>5</v>
      </c>
      <c r="H20" s="12">
        <v>5</v>
      </c>
      <c r="I20" s="12">
        <v>5</v>
      </c>
      <c r="J20" s="12">
        <v>5</v>
      </c>
      <c r="K20" s="13">
        <f t="shared" si="3"/>
        <v>35</v>
      </c>
      <c r="L20" s="12">
        <v>5</v>
      </c>
      <c r="M20" s="12">
        <v>5</v>
      </c>
      <c r="N20" s="12">
        <v>3</v>
      </c>
      <c r="O20" s="12">
        <v>5</v>
      </c>
      <c r="P20" s="12">
        <v>2</v>
      </c>
      <c r="Q20" s="12">
        <v>4</v>
      </c>
      <c r="R20" s="12">
        <v>4</v>
      </c>
      <c r="S20" s="12">
        <v>5</v>
      </c>
      <c r="T20" s="12">
        <v>5</v>
      </c>
      <c r="U20" s="12">
        <v>5</v>
      </c>
      <c r="V20" s="12">
        <v>5</v>
      </c>
      <c r="W20" s="12">
        <v>3</v>
      </c>
      <c r="X20" s="12">
        <v>2</v>
      </c>
      <c r="Y20" s="12">
        <v>3</v>
      </c>
      <c r="Z20" s="12">
        <v>3</v>
      </c>
      <c r="AA20" s="12">
        <v>3</v>
      </c>
      <c r="AB20" s="13">
        <f t="shared" si="4"/>
        <v>62</v>
      </c>
      <c r="AC20" s="14"/>
    </row>
    <row r="21" ht="202.5" spans="1:29">
      <c r="A21" s="15"/>
      <c r="B21" s="10" t="s">
        <v>63</v>
      </c>
      <c r="C21" s="11" t="s">
        <v>64</v>
      </c>
      <c r="D21" s="12">
        <v>4</v>
      </c>
      <c r="E21" s="12">
        <v>5</v>
      </c>
      <c r="F21" s="12">
        <v>5</v>
      </c>
      <c r="G21" s="12">
        <v>5</v>
      </c>
      <c r="H21" s="12">
        <v>5</v>
      </c>
      <c r="I21" s="12">
        <v>5</v>
      </c>
      <c r="J21" s="12">
        <v>5</v>
      </c>
      <c r="K21" s="13">
        <f t="shared" si="3"/>
        <v>34</v>
      </c>
      <c r="L21" s="12">
        <v>4</v>
      </c>
      <c r="M21" s="12">
        <v>5</v>
      </c>
      <c r="N21" s="12">
        <v>3</v>
      </c>
      <c r="O21" s="12">
        <v>5</v>
      </c>
      <c r="P21" s="12">
        <v>3</v>
      </c>
      <c r="Q21" s="12">
        <v>4</v>
      </c>
      <c r="R21" s="12">
        <v>4</v>
      </c>
      <c r="S21" s="12">
        <v>5</v>
      </c>
      <c r="T21" s="12">
        <v>5</v>
      </c>
      <c r="U21" s="12">
        <v>5</v>
      </c>
      <c r="V21" s="12">
        <v>5</v>
      </c>
      <c r="W21" s="12">
        <v>4</v>
      </c>
      <c r="X21" s="12">
        <v>3</v>
      </c>
      <c r="Y21" s="12">
        <v>4</v>
      </c>
      <c r="Z21" s="12">
        <v>3</v>
      </c>
      <c r="AA21" s="12">
        <v>4</v>
      </c>
      <c r="AB21" s="13">
        <f t="shared" si="4"/>
        <v>66</v>
      </c>
      <c r="AC21" s="14"/>
    </row>
    <row r="22" ht="108" spans="1:29">
      <c r="A22" s="15"/>
      <c r="B22" s="10" t="s">
        <v>65</v>
      </c>
      <c r="C22" s="11" t="s">
        <v>66</v>
      </c>
      <c r="D22" s="12">
        <v>5</v>
      </c>
      <c r="E22" s="12">
        <v>5</v>
      </c>
      <c r="F22" s="12">
        <v>5</v>
      </c>
      <c r="G22" s="12">
        <v>5</v>
      </c>
      <c r="H22" s="12">
        <v>5</v>
      </c>
      <c r="I22" s="12">
        <v>5</v>
      </c>
      <c r="J22" s="12">
        <v>5</v>
      </c>
      <c r="K22" s="13">
        <f t="shared" si="3"/>
        <v>35</v>
      </c>
      <c r="L22" s="12">
        <v>5</v>
      </c>
      <c r="M22" s="12">
        <v>5</v>
      </c>
      <c r="N22" s="12">
        <v>3</v>
      </c>
      <c r="O22" s="12">
        <v>5</v>
      </c>
      <c r="P22" s="12">
        <v>1</v>
      </c>
      <c r="Q22" s="12">
        <v>4</v>
      </c>
      <c r="R22" s="12">
        <v>4</v>
      </c>
      <c r="S22" s="12">
        <v>5</v>
      </c>
      <c r="T22" s="12">
        <v>5</v>
      </c>
      <c r="U22" s="12">
        <v>5</v>
      </c>
      <c r="V22" s="12">
        <v>5</v>
      </c>
      <c r="W22" s="12">
        <v>3</v>
      </c>
      <c r="X22" s="12">
        <v>2</v>
      </c>
      <c r="Y22" s="12">
        <v>3</v>
      </c>
      <c r="Z22" s="12">
        <v>3</v>
      </c>
      <c r="AA22" s="12">
        <v>3</v>
      </c>
      <c r="AB22" s="13">
        <f t="shared" si="4"/>
        <v>61</v>
      </c>
      <c r="AC22" s="14"/>
    </row>
    <row r="23" ht="189" spans="1:29">
      <c r="A23" s="15"/>
      <c r="B23" s="10" t="s">
        <v>67</v>
      </c>
      <c r="C23" s="11" t="s">
        <v>68</v>
      </c>
      <c r="D23" s="12">
        <v>4</v>
      </c>
      <c r="E23" s="12">
        <v>5</v>
      </c>
      <c r="F23" s="12">
        <v>5</v>
      </c>
      <c r="G23" s="12">
        <v>5</v>
      </c>
      <c r="H23" s="12">
        <v>5</v>
      </c>
      <c r="I23" s="12">
        <v>5</v>
      </c>
      <c r="J23" s="12">
        <v>5</v>
      </c>
      <c r="K23" s="13">
        <f t="shared" si="3"/>
        <v>34</v>
      </c>
      <c r="L23" s="12">
        <v>5</v>
      </c>
      <c r="M23" s="12">
        <v>5</v>
      </c>
      <c r="N23" s="12">
        <v>3</v>
      </c>
      <c r="O23" s="12">
        <v>5</v>
      </c>
      <c r="P23" s="12">
        <v>3</v>
      </c>
      <c r="Q23" s="12">
        <v>4</v>
      </c>
      <c r="R23" s="12">
        <v>4</v>
      </c>
      <c r="S23" s="12">
        <v>5</v>
      </c>
      <c r="T23" s="12">
        <v>5</v>
      </c>
      <c r="U23" s="12">
        <v>5</v>
      </c>
      <c r="V23" s="12">
        <v>5</v>
      </c>
      <c r="W23" s="12">
        <v>4</v>
      </c>
      <c r="X23" s="12">
        <v>3</v>
      </c>
      <c r="Y23" s="12">
        <v>4</v>
      </c>
      <c r="Z23" s="12">
        <v>3</v>
      </c>
      <c r="AA23" s="12">
        <v>4</v>
      </c>
      <c r="AB23" s="13">
        <f t="shared" si="4"/>
        <v>67</v>
      </c>
      <c r="AC23" s="14"/>
    </row>
    <row r="24" ht="148.5" spans="1:29">
      <c r="A24" s="15"/>
      <c r="B24" s="10" t="s">
        <v>69</v>
      </c>
      <c r="C24" s="11" t="s">
        <v>70</v>
      </c>
      <c r="D24" s="12">
        <v>5</v>
      </c>
      <c r="E24" s="12">
        <v>5</v>
      </c>
      <c r="F24" s="12">
        <v>5</v>
      </c>
      <c r="G24" s="12">
        <v>5</v>
      </c>
      <c r="H24" s="12">
        <v>5</v>
      </c>
      <c r="I24" s="12">
        <v>5</v>
      </c>
      <c r="J24" s="12">
        <v>5</v>
      </c>
      <c r="K24" s="13">
        <f t="shared" si="3"/>
        <v>35</v>
      </c>
      <c r="L24" s="12">
        <v>5</v>
      </c>
      <c r="M24" s="12">
        <v>5</v>
      </c>
      <c r="N24" s="12">
        <v>3</v>
      </c>
      <c r="O24" s="12">
        <v>5</v>
      </c>
      <c r="P24" s="12">
        <v>1</v>
      </c>
      <c r="Q24" s="12">
        <v>4</v>
      </c>
      <c r="R24" s="12">
        <v>4</v>
      </c>
      <c r="S24" s="12">
        <v>5</v>
      </c>
      <c r="T24" s="12">
        <v>5</v>
      </c>
      <c r="U24" s="12">
        <v>5</v>
      </c>
      <c r="V24" s="12">
        <v>5</v>
      </c>
      <c r="W24" s="12">
        <v>2</v>
      </c>
      <c r="X24" s="12">
        <v>2</v>
      </c>
      <c r="Y24" s="12">
        <v>3</v>
      </c>
      <c r="Z24" s="12">
        <v>3</v>
      </c>
      <c r="AA24" s="12">
        <v>3</v>
      </c>
      <c r="AB24" s="13">
        <f t="shared" si="4"/>
        <v>60</v>
      </c>
      <c r="AC24" s="14"/>
    </row>
    <row r="25" ht="121.5" spans="1:29">
      <c r="A25" s="15"/>
      <c r="B25" s="10" t="s">
        <v>71</v>
      </c>
      <c r="C25" s="11" t="s">
        <v>72</v>
      </c>
      <c r="D25" s="12">
        <v>5</v>
      </c>
      <c r="E25" s="12">
        <v>5</v>
      </c>
      <c r="F25" s="12">
        <v>5</v>
      </c>
      <c r="G25" s="12">
        <v>5</v>
      </c>
      <c r="H25" s="12">
        <v>5</v>
      </c>
      <c r="I25" s="12">
        <v>5</v>
      </c>
      <c r="J25" s="12">
        <v>4</v>
      </c>
      <c r="K25" s="13">
        <f t="shared" si="3"/>
        <v>34</v>
      </c>
      <c r="L25" s="12">
        <v>5</v>
      </c>
      <c r="M25" s="12">
        <v>5</v>
      </c>
      <c r="N25" s="12">
        <v>3</v>
      </c>
      <c r="O25" s="12">
        <v>5</v>
      </c>
      <c r="P25" s="12">
        <v>1</v>
      </c>
      <c r="Q25" s="12">
        <v>4</v>
      </c>
      <c r="R25" s="12">
        <v>4</v>
      </c>
      <c r="S25" s="12">
        <v>5</v>
      </c>
      <c r="T25" s="12">
        <v>5</v>
      </c>
      <c r="U25" s="12">
        <v>5</v>
      </c>
      <c r="V25" s="12">
        <v>5</v>
      </c>
      <c r="W25" s="12">
        <v>2</v>
      </c>
      <c r="X25" s="12">
        <v>2</v>
      </c>
      <c r="Y25" s="12">
        <v>3</v>
      </c>
      <c r="Z25" s="12">
        <v>3</v>
      </c>
      <c r="AA25" s="12">
        <v>3</v>
      </c>
      <c r="AB25" s="13">
        <f t="shared" si="4"/>
        <v>60</v>
      </c>
      <c r="AC25" s="14"/>
    </row>
    <row r="26" ht="135" spans="1:29">
      <c r="A26" s="15"/>
      <c r="B26" s="10" t="s">
        <v>73</v>
      </c>
      <c r="C26" s="11" t="s">
        <v>74</v>
      </c>
      <c r="D26" s="12">
        <v>5</v>
      </c>
      <c r="E26" s="12">
        <v>5</v>
      </c>
      <c r="F26" s="12">
        <v>5</v>
      </c>
      <c r="G26" s="12">
        <v>5</v>
      </c>
      <c r="H26" s="12">
        <v>5</v>
      </c>
      <c r="I26" s="12">
        <v>5</v>
      </c>
      <c r="J26" s="12">
        <v>5</v>
      </c>
      <c r="K26" s="13">
        <f t="shared" si="3"/>
        <v>35</v>
      </c>
      <c r="L26" s="12">
        <v>5</v>
      </c>
      <c r="M26" s="12">
        <v>5</v>
      </c>
      <c r="N26" s="12">
        <v>3</v>
      </c>
      <c r="O26" s="12">
        <v>5</v>
      </c>
      <c r="P26" s="12">
        <v>3</v>
      </c>
      <c r="Q26" s="12">
        <v>5</v>
      </c>
      <c r="R26" s="12">
        <v>4</v>
      </c>
      <c r="S26" s="12">
        <v>5</v>
      </c>
      <c r="T26" s="12">
        <v>5</v>
      </c>
      <c r="U26" s="12">
        <v>5</v>
      </c>
      <c r="V26" s="12">
        <v>5</v>
      </c>
      <c r="W26" s="12">
        <v>2</v>
      </c>
      <c r="X26" s="12">
        <v>2</v>
      </c>
      <c r="Y26" s="12">
        <v>4</v>
      </c>
      <c r="Z26" s="12">
        <v>3</v>
      </c>
      <c r="AA26" s="12">
        <v>4</v>
      </c>
      <c r="AB26" s="13">
        <f t="shared" si="4"/>
        <v>65</v>
      </c>
      <c r="AC26" s="14"/>
    </row>
    <row r="27" ht="256.5" spans="1:29">
      <c r="A27" s="15"/>
      <c r="B27" s="10" t="s">
        <v>75</v>
      </c>
      <c r="C27" s="11" t="s">
        <v>76</v>
      </c>
      <c r="D27" s="12">
        <v>5</v>
      </c>
      <c r="E27" s="12">
        <v>5</v>
      </c>
      <c r="F27" s="12">
        <v>5</v>
      </c>
      <c r="G27" s="12">
        <v>5</v>
      </c>
      <c r="H27" s="12">
        <v>5</v>
      </c>
      <c r="I27" s="12">
        <v>5</v>
      </c>
      <c r="J27" s="12">
        <v>4</v>
      </c>
      <c r="K27" s="13">
        <f t="shared" si="3"/>
        <v>34</v>
      </c>
      <c r="L27" s="12">
        <v>5</v>
      </c>
      <c r="M27" s="12">
        <v>5</v>
      </c>
      <c r="N27" s="12">
        <v>3</v>
      </c>
      <c r="O27" s="12">
        <v>5</v>
      </c>
      <c r="P27" s="12">
        <v>2</v>
      </c>
      <c r="Q27" s="12">
        <v>5</v>
      </c>
      <c r="R27" s="12">
        <v>4</v>
      </c>
      <c r="S27" s="12">
        <v>5</v>
      </c>
      <c r="T27" s="12">
        <v>5</v>
      </c>
      <c r="U27" s="12">
        <v>5</v>
      </c>
      <c r="V27" s="12">
        <v>5</v>
      </c>
      <c r="W27" s="12">
        <v>3</v>
      </c>
      <c r="X27" s="12">
        <v>2</v>
      </c>
      <c r="Y27" s="12">
        <v>3</v>
      </c>
      <c r="Z27" s="12">
        <v>3</v>
      </c>
      <c r="AA27" s="12">
        <v>3</v>
      </c>
      <c r="AB27" s="13">
        <f t="shared" si="4"/>
        <v>63</v>
      </c>
      <c r="AC27" s="14"/>
    </row>
    <row r="28" ht="287" customHeight="1" spans="1:29">
      <c r="A28" s="15"/>
      <c r="B28" s="10" t="s">
        <v>77</v>
      </c>
      <c r="C28" s="11" t="s">
        <v>78</v>
      </c>
      <c r="D28" s="12">
        <v>5</v>
      </c>
      <c r="E28" s="12">
        <v>5</v>
      </c>
      <c r="F28" s="12">
        <v>5</v>
      </c>
      <c r="G28" s="12">
        <v>5</v>
      </c>
      <c r="H28" s="12">
        <v>5</v>
      </c>
      <c r="I28" s="12">
        <v>5</v>
      </c>
      <c r="J28" s="12">
        <v>4</v>
      </c>
      <c r="K28" s="13">
        <f t="shared" si="3"/>
        <v>34</v>
      </c>
      <c r="L28" s="12">
        <v>5</v>
      </c>
      <c r="M28" s="12">
        <v>5</v>
      </c>
      <c r="N28" s="12">
        <v>3</v>
      </c>
      <c r="O28" s="12">
        <v>5</v>
      </c>
      <c r="P28" s="12">
        <v>3</v>
      </c>
      <c r="Q28" s="12">
        <v>5</v>
      </c>
      <c r="R28" s="12">
        <v>4</v>
      </c>
      <c r="S28" s="12">
        <v>5</v>
      </c>
      <c r="T28" s="12">
        <v>5</v>
      </c>
      <c r="U28" s="12">
        <v>5</v>
      </c>
      <c r="V28" s="12">
        <v>5</v>
      </c>
      <c r="W28" s="12">
        <v>3</v>
      </c>
      <c r="X28" s="12">
        <v>3</v>
      </c>
      <c r="Y28" s="12">
        <v>4</v>
      </c>
      <c r="Z28" s="12">
        <v>3</v>
      </c>
      <c r="AA28" s="12">
        <v>4</v>
      </c>
      <c r="AB28" s="13">
        <f t="shared" si="4"/>
        <v>67</v>
      </c>
      <c r="AC28" s="14"/>
    </row>
    <row r="29" ht="180" customHeight="1" spans="1:29">
      <c r="A29" s="15"/>
      <c r="B29" s="10" t="s">
        <v>79</v>
      </c>
      <c r="C29" s="11" t="s">
        <v>80</v>
      </c>
      <c r="D29" s="12">
        <v>5</v>
      </c>
      <c r="E29" s="12">
        <v>5</v>
      </c>
      <c r="F29" s="12">
        <v>5</v>
      </c>
      <c r="G29" s="12">
        <v>5</v>
      </c>
      <c r="H29" s="12">
        <v>5</v>
      </c>
      <c r="I29" s="12">
        <v>5</v>
      </c>
      <c r="J29" s="12">
        <v>5</v>
      </c>
      <c r="K29" s="13">
        <f t="shared" si="3"/>
        <v>35</v>
      </c>
      <c r="L29" s="12">
        <v>5</v>
      </c>
      <c r="M29" s="12">
        <v>5</v>
      </c>
      <c r="N29" s="12">
        <v>2</v>
      </c>
      <c r="O29" s="12">
        <v>5</v>
      </c>
      <c r="P29" s="12">
        <v>1</v>
      </c>
      <c r="Q29" s="12">
        <v>5</v>
      </c>
      <c r="R29" s="12">
        <v>4</v>
      </c>
      <c r="S29" s="12">
        <v>5</v>
      </c>
      <c r="T29" s="12">
        <v>5</v>
      </c>
      <c r="U29" s="12">
        <v>5</v>
      </c>
      <c r="V29" s="12">
        <v>5</v>
      </c>
      <c r="W29" s="12">
        <v>4</v>
      </c>
      <c r="X29" s="12">
        <v>2</v>
      </c>
      <c r="Y29" s="12">
        <v>3</v>
      </c>
      <c r="Z29" s="12">
        <v>3</v>
      </c>
      <c r="AA29" s="12">
        <v>3</v>
      </c>
      <c r="AB29" s="13">
        <f t="shared" si="4"/>
        <v>62</v>
      </c>
      <c r="AC29" s="14"/>
    </row>
    <row r="30" spans="1:29">
      <c r="D30">
        <f>AVERAGE(D12:D29)</f>
        <v>4.83333333333333</v>
      </c>
      <c r="E30">
        <f t="shared" ref="E30:AB30" si="5">AVERAGE(E12:E29)</f>
        <v>4.94444444444444</v>
      </c>
      <c r="F30">
        <f t="shared" si="5"/>
        <v>4.94444444444444</v>
      </c>
      <c r="G30">
        <f t="shared" si="5"/>
        <v>5</v>
      </c>
      <c r="H30">
        <f t="shared" si="5"/>
        <v>4.88888888888889</v>
      </c>
      <c r="I30">
        <f t="shared" si="5"/>
        <v>5</v>
      </c>
      <c r="J30">
        <f t="shared" si="5"/>
        <v>4.83333333333333</v>
      </c>
      <c r="K30">
        <f t="shared" si="5"/>
        <v>34.4444444444444</v>
      </c>
      <c r="L30">
        <f t="shared" si="5"/>
        <v>4.94444444444444</v>
      </c>
      <c r="M30">
        <f t="shared" si="5"/>
        <v>5</v>
      </c>
      <c r="N30">
        <f t="shared" si="5"/>
        <v>2.94444444444444</v>
      </c>
      <c r="O30">
        <f t="shared" si="5"/>
        <v>5</v>
      </c>
      <c r="P30">
        <f t="shared" si="5"/>
        <v>1.94444444444444</v>
      </c>
      <c r="Q30">
        <f t="shared" si="5"/>
        <v>4.16666666666667</v>
      </c>
      <c r="R30">
        <f t="shared" si="5"/>
        <v>3.83333333333333</v>
      </c>
      <c r="S30">
        <f t="shared" si="5"/>
        <v>5</v>
      </c>
      <c r="T30">
        <f t="shared" si="5"/>
        <v>4.88888888888889</v>
      </c>
      <c r="U30">
        <f t="shared" si="5"/>
        <v>5</v>
      </c>
      <c r="V30">
        <f t="shared" si="5"/>
        <v>5</v>
      </c>
      <c r="W30">
        <f t="shared" si="5"/>
        <v>3.11111111111111</v>
      </c>
      <c r="X30">
        <f t="shared" si="5"/>
        <v>2.22222222222222</v>
      </c>
      <c r="Y30">
        <f t="shared" si="5"/>
        <v>3.38888888888889</v>
      </c>
      <c r="Z30">
        <f t="shared" si="5"/>
        <v>3</v>
      </c>
      <c r="AA30">
        <f t="shared" si="5"/>
        <v>3.38888888888889</v>
      </c>
      <c r="AB30">
        <f t="shared" si="5"/>
        <v>62.8333333333333</v>
      </c>
    </row>
    <row r="32" ht="297" spans="1:29">
      <c r="A32" s="9" t="s">
        <v>393</v>
      </c>
      <c r="B32" s="10" t="s">
        <v>82</v>
      </c>
      <c r="C32" s="11" t="s">
        <v>83</v>
      </c>
      <c r="D32" s="12">
        <v>5</v>
      </c>
      <c r="E32" s="12">
        <v>5</v>
      </c>
      <c r="F32" s="12">
        <v>5</v>
      </c>
      <c r="G32" s="12">
        <v>5</v>
      </c>
      <c r="H32" s="12">
        <v>5</v>
      </c>
      <c r="I32" s="12">
        <v>5</v>
      </c>
      <c r="J32" s="12">
        <v>5</v>
      </c>
      <c r="K32" s="13">
        <f t="shared" ref="K32:K45" si="6">SUM(D32:J32)</f>
        <v>35</v>
      </c>
      <c r="L32" s="12">
        <v>5</v>
      </c>
      <c r="M32" s="12">
        <v>5</v>
      </c>
      <c r="N32" s="12">
        <v>2</v>
      </c>
      <c r="O32" s="12">
        <v>5</v>
      </c>
      <c r="P32" s="12">
        <v>2</v>
      </c>
      <c r="Q32" s="12">
        <v>5</v>
      </c>
      <c r="R32" s="12">
        <v>4</v>
      </c>
      <c r="S32" s="12">
        <v>5</v>
      </c>
      <c r="T32" s="12">
        <v>5</v>
      </c>
      <c r="U32" s="12">
        <v>5</v>
      </c>
      <c r="V32" s="12">
        <v>5</v>
      </c>
      <c r="W32" s="12">
        <v>4</v>
      </c>
      <c r="X32" s="12">
        <v>3</v>
      </c>
      <c r="Y32" s="12">
        <v>4</v>
      </c>
      <c r="Z32" s="12">
        <v>3</v>
      </c>
      <c r="AA32" s="12">
        <v>4</v>
      </c>
      <c r="AB32" s="13">
        <f t="shared" ref="AB32:AB45" si="7">SUM(L32:AA32)</f>
        <v>66</v>
      </c>
      <c r="AC32" s="14"/>
    </row>
    <row r="33" ht="148.5" spans="1:29">
      <c r="A33" s="15"/>
      <c r="B33" s="10" t="s">
        <v>84</v>
      </c>
      <c r="C33" s="11" t="s">
        <v>85</v>
      </c>
      <c r="D33" s="12">
        <v>5</v>
      </c>
      <c r="E33" s="12">
        <v>5</v>
      </c>
      <c r="F33" s="12">
        <v>5</v>
      </c>
      <c r="G33" s="12">
        <v>5</v>
      </c>
      <c r="H33" s="12">
        <v>5</v>
      </c>
      <c r="I33" s="12">
        <v>5</v>
      </c>
      <c r="J33" s="12">
        <v>4</v>
      </c>
      <c r="K33" s="13">
        <f t="shared" si="6"/>
        <v>34</v>
      </c>
      <c r="L33" s="12">
        <v>5</v>
      </c>
      <c r="M33" s="12">
        <v>5</v>
      </c>
      <c r="N33" s="12">
        <v>3</v>
      </c>
      <c r="O33" s="12">
        <v>5</v>
      </c>
      <c r="P33" s="12">
        <v>3</v>
      </c>
      <c r="Q33" s="12">
        <v>5</v>
      </c>
      <c r="R33" s="12">
        <v>4</v>
      </c>
      <c r="S33" s="12">
        <v>5</v>
      </c>
      <c r="T33" s="12">
        <v>5</v>
      </c>
      <c r="U33" s="12">
        <v>5</v>
      </c>
      <c r="V33" s="12">
        <v>5</v>
      </c>
      <c r="W33" s="12">
        <v>4</v>
      </c>
      <c r="X33" s="12">
        <v>3</v>
      </c>
      <c r="Y33" s="12">
        <v>4</v>
      </c>
      <c r="Z33" s="12">
        <v>3</v>
      </c>
      <c r="AA33" s="12">
        <v>4</v>
      </c>
      <c r="AB33" s="13">
        <f t="shared" si="7"/>
        <v>68</v>
      </c>
      <c r="AC33" s="14"/>
    </row>
    <row r="34" ht="189" spans="1:29">
      <c r="A34" s="15"/>
      <c r="B34" s="10" t="s">
        <v>86</v>
      </c>
      <c r="C34" s="11" t="s">
        <v>87</v>
      </c>
      <c r="D34" s="12">
        <v>5</v>
      </c>
      <c r="E34" s="12">
        <v>5</v>
      </c>
      <c r="F34" s="12">
        <v>5</v>
      </c>
      <c r="G34" s="12">
        <v>5</v>
      </c>
      <c r="H34" s="12">
        <v>5</v>
      </c>
      <c r="I34" s="12">
        <v>5</v>
      </c>
      <c r="J34" s="12">
        <v>5</v>
      </c>
      <c r="K34" s="13">
        <f t="shared" si="6"/>
        <v>35</v>
      </c>
      <c r="L34" s="12">
        <v>5</v>
      </c>
      <c r="M34" s="12">
        <v>5</v>
      </c>
      <c r="N34" s="12">
        <v>3</v>
      </c>
      <c r="O34" s="12">
        <v>5</v>
      </c>
      <c r="P34" s="12">
        <v>3</v>
      </c>
      <c r="Q34" s="12">
        <v>5</v>
      </c>
      <c r="R34" s="12">
        <v>4</v>
      </c>
      <c r="S34" s="12">
        <v>5</v>
      </c>
      <c r="T34" s="12">
        <v>5</v>
      </c>
      <c r="U34" s="12">
        <v>5</v>
      </c>
      <c r="V34" s="12">
        <v>5</v>
      </c>
      <c r="W34" s="12">
        <v>4</v>
      </c>
      <c r="X34" s="12">
        <v>3</v>
      </c>
      <c r="Y34" s="12">
        <v>4</v>
      </c>
      <c r="Z34" s="12">
        <v>3</v>
      </c>
      <c r="AA34" s="12">
        <v>4</v>
      </c>
      <c r="AB34" s="13">
        <f t="shared" si="7"/>
        <v>68</v>
      </c>
      <c r="AC34" s="14"/>
    </row>
    <row r="35" ht="202.5" spans="1:29">
      <c r="A35" s="15"/>
      <c r="B35" s="10" t="s">
        <v>88</v>
      </c>
      <c r="C35" s="11" t="s">
        <v>89</v>
      </c>
      <c r="D35" s="12">
        <v>5</v>
      </c>
      <c r="E35" s="12">
        <v>5</v>
      </c>
      <c r="F35" s="12">
        <v>5</v>
      </c>
      <c r="G35" s="12">
        <v>5</v>
      </c>
      <c r="H35" s="12">
        <v>5</v>
      </c>
      <c r="I35" s="12">
        <v>5</v>
      </c>
      <c r="J35" s="12">
        <v>4</v>
      </c>
      <c r="K35" s="13">
        <f t="shared" si="6"/>
        <v>34</v>
      </c>
      <c r="L35" s="12">
        <v>5</v>
      </c>
      <c r="M35" s="12">
        <v>5</v>
      </c>
      <c r="N35" s="12">
        <v>3</v>
      </c>
      <c r="O35" s="12">
        <v>5</v>
      </c>
      <c r="P35" s="12">
        <v>3</v>
      </c>
      <c r="Q35" s="12">
        <v>5</v>
      </c>
      <c r="R35" s="12">
        <v>4</v>
      </c>
      <c r="S35" s="12">
        <v>5</v>
      </c>
      <c r="T35" s="12">
        <v>5</v>
      </c>
      <c r="U35" s="12">
        <v>5</v>
      </c>
      <c r="V35" s="12">
        <v>5</v>
      </c>
      <c r="W35" s="12">
        <v>3</v>
      </c>
      <c r="X35" s="12">
        <v>3</v>
      </c>
      <c r="Y35" s="12">
        <v>4</v>
      </c>
      <c r="Z35" s="12">
        <v>3</v>
      </c>
      <c r="AA35" s="12">
        <v>4</v>
      </c>
      <c r="AB35" s="13">
        <f t="shared" si="7"/>
        <v>67</v>
      </c>
      <c r="AC35" s="13"/>
    </row>
    <row r="36" ht="229.5" spans="1:29">
      <c r="A36" s="15"/>
      <c r="B36" s="10" t="s">
        <v>90</v>
      </c>
      <c r="C36" s="11" t="s">
        <v>91</v>
      </c>
      <c r="D36" s="12">
        <v>5</v>
      </c>
      <c r="E36" s="12">
        <v>5</v>
      </c>
      <c r="F36" s="12">
        <v>5</v>
      </c>
      <c r="G36" s="12">
        <v>5</v>
      </c>
      <c r="H36" s="12">
        <v>5</v>
      </c>
      <c r="I36" s="12">
        <v>5</v>
      </c>
      <c r="J36" s="12">
        <v>5</v>
      </c>
      <c r="K36" s="13">
        <f t="shared" si="6"/>
        <v>35</v>
      </c>
      <c r="L36" s="12">
        <v>5</v>
      </c>
      <c r="M36" s="12">
        <v>5</v>
      </c>
      <c r="N36" s="12">
        <v>2</v>
      </c>
      <c r="O36" s="12">
        <v>5</v>
      </c>
      <c r="P36" s="12">
        <v>2</v>
      </c>
      <c r="Q36" s="12">
        <v>5</v>
      </c>
      <c r="R36" s="12">
        <v>4</v>
      </c>
      <c r="S36" s="12">
        <v>5</v>
      </c>
      <c r="T36" s="12">
        <v>5</v>
      </c>
      <c r="U36" s="12">
        <v>5</v>
      </c>
      <c r="V36" s="12">
        <v>5</v>
      </c>
      <c r="W36" s="12">
        <v>3</v>
      </c>
      <c r="X36" s="12">
        <v>3</v>
      </c>
      <c r="Y36" s="12">
        <v>4</v>
      </c>
      <c r="Z36" s="12">
        <v>3</v>
      </c>
      <c r="AA36" s="12">
        <v>4</v>
      </c>
      <c r="AB36" s="13">
        <f t="shared" si="7"/>
        <v>65</v>
      </c>
      <c r="AC36" s="14"/>
    </row>
    <row r="37" ht="229.5" spans="1:29">
      <c r="A37" s="15"/>
      <c r="B37" s="10" t="s">
        <v>92</v>
      </c>
      <c r="C37" s="11" t="s">
        <v>93</v>
      </c>
      <c r="D37" s="12">
        <v>5</v>
      </c>
      <c r="E37" s="12">
        <v>5</v>
      </c>
      <c r="F37" s="12">
        <v>5</v>
      </c>
      <c r="G37" s="12">
        <v>5</v>
      </c>
      <c r="H37" s="12">
        <v>5</v>
      </c>
      <c r="I37" s="12">
        <v>5</v>
      </c>
      <c r="J37" s="12">
        <v>5</v>
      </c>
      <c r="K37" s="13">
        <f t="shared" si="6"/>
        <v>35</v>
      </c>
      <c r="L37" s="12">
        <v>5</v>
      </c>
      <c r="M37" s="12">
        <v>5</v>
      </c>
      <c r="N37" s="12">
        <v>2</v>
      </c>
      <c r="O37" s="12">
        <v>5</v>
      </c>
      <c r="P37" s="12">
        <v>3</v>
      </c>
      <c r="Q37" s="12">
        <v>5</v>
      </c>
      <c r="R37" s="12">
        <v>4</v>
      </c>
      <c r="S37" s="12">
        <v>5</v>
      </c>
      <c r="T37" s="12">
        <v>5</v>
      </c>
      <c r="U37" s="12">
        <v>5</v>
      </c>
      <c r="V37" s="12">
        <v>5</v>
      </c>
      <c r="W37" s="12">
        <v>2</v>
      </c>
      <c r="X37" s="12">
        <v>3</v>
      </c>
      <c r="Y37" s="12">
        <v>4</v>
      </c>
      <c r="Z37" s="12">
        <v>3</v>
      </c>
      <c r="AA37" s="12">
        <v>4</v>
      </c>
      <c r="AB37" s="13">
        <f t="shared" si="7"/>
        <v>65</v>
      </c>
      <c r="AC37" s="14"/>
    </row>
    <row r="38" ht="243" spans="1:29">
      <c r="A38" s="15"/>
      <c r="B38" s="10" t="s">
        <v>94</v>
      </c>
      <c r="C38" s="11" t="s">
        <v>95</v>
      </c>
      <c r="D38" s="12">
        <v>5</v>
      </c>
      <c r="E38" s="12">
        <v>5</v>
      </c>
      <c r="F38" s="12">
        <v>5</v>
      </c>
      <c r="G38" s="12">
        <v>5</v>
      </c>
      <c r="H38" s="12">
        <v>5</v>
      </c>
      <c r="I38" s="12">
        <v>5</v>
      </c>
      <c r="J38" s="12">
        <v>5</v>
      </c>
      <c r="K38" s="13">
        <f t="shared" si="6"/>
        <v>35</v>
      </c>
      <c r="L38" s="12">
        <v>5</v>
      </c>
      <c r="M38" s="12">
        <v>5</v>
      </c>
      <c r="N38" s="12">
        <v>2</v>
      </c>
      <c r="O38" s="12">
        <v>5</v>
      </c>
      <c r="P38" s="12">
        <v>3</v>
      </c>
      <c r="Q38" s="12">
        <v>5</v>
      </c>
      <c r="R38" s="12">
        <v>4</v>
      </c>
      <c r="S38" s="12">
        <v>5</v>
      </c>
      <c r="T38" s="12">
        <v>5</v>
      </c>
      <c r="U38" s="12">
        <v>5</v>
      </c>
      <c r="V38" s="12">
        <v>5</v>
      </c>
      <c r="W38" s="12">
        <v>2</v>
      </c>
      <c r="X38" s="12">
        <v>3</v>
      </c>
      <c r="Y38" s="12">
        <v>4</v>
      </c>
      <c r="Z38" s="12">
        <v>3</v>
      </c>
      <c r="AA38" s="12">
        <v>4</v>
      </c>
      <c r="AB38" s="13">
        <f t="shared" si="7"/>
        <v>65</v>
      </c>
      <c r="AC38" s="14"/>
    </row>
    <row r="39" ht="216" spans="1:29">
      <c r="A39" s="15"/>
      <c r="B39" s="10" t="s">
        <v>96</v>
      </c>
      <c r="C39" s="11" t="s">
        <v>97</v>
      </c>
      <c r="D39" s="12">
        <v>5</v>
      </c>
      <c r="E39" s="12">
        <v>5</v>
      </c>
      <c r="F39" s="12">
        <v>5</v>
      </c>
      <c r="G39" s="12">
        <v>5</v>
      </c>
      <c r="H39" s="12">
        <v>5</v>
      </c>
      <c r="I39" s="12">
        <v>5</v>
      </c>
      <c r="J39" s="12">
        <v>5</v>
      </c>
      <c r="K39" s="13">
        <f t="shared" si="6"/>
        <v>35</v>
      </c>
      <c r="L39" s="12">
        <v>5</v>
      </c>
      <c r="M39" s="12">
        <v>5</v>
      </c>
      <c r="N39" s="12">
        <v>2</v>
      </c>
      <c r="O39" s="12">
        <v>5</v>
      </c>
      <c r="P39" s="12">
        <v>3</v>
      </c>
      <c r="Q39" s="12">
        <v>5</v>
      </c>
      <c r="R39" s="12">
        <v>4</v>
      </c>
      <c r="S39" s="12">
        <v>5</v>
      </c>
      <c r="T39" s="12">
        <v>5</v>
      </c>
      <c r="U39" s="12">
        <v>5</v>
      </c>
      <c r="V39" s="12">
        <v>5</v>
      </c>
      <c r="W39" s="12">
        <v>2</v>
      </c>
      <c r="X39" s="12">
        <v>2</v>
      </c>
      <c r="Y39" s="12">
        <v>4</v>
      </c>
      <c r="Z39" s="12">
        <v>3</v>
      </c>
      <c r="AA39" s="12">
        <v>4</v>
      </c>
      <c r="AB39" s="13">
        <f t="shared" si="7"/>
        <v>64</v>
      </c>
      <c r="AC39" s="14"/>
    </row>
    <row r="40" ht="378" customHeight="1" spans="1:29">
      <c r="A40" s="15"/>
      <c r="B40" s="10" t="s">
        <v>98</v>
      </c>
      <c r="C40" s="11" t="s">
        <v>99</v>
      </c>
      <c r="D40" s="12">
        <v>5</v>
      </c>
      <c r="E40" s="12">
        <v>5</v>
      </c>
      <c r="F40" s="12">
        <v>5</v>
      </c>
      <c r="G40" s="12">
        <v>5</v>
      </c>
      <c r="H40" s="12">
        <v>5</v>
      </c>
      <c r="I40" s="12">
        <v>5</v>
      </c>
      <c r="J40" s="12">
        <v>5</v>
      </c>
      <c r="K40" s="13">
        <f t="shared" si="6"/>
        <v>35</v>
      </c>
      <c r="L40" s="12">
        <v>5</v>
      </c>
      <c r="M40" s="12">
        <v>5</v>
      </c>
      <c r="N40" s="12">
        <v>2</v>
      </c>
      <c r="O40" s="12">
        <v>5</v>
      </c>
      <c r="P40" s="12">
        <v>3</v>
      </c>
      <c r="Q40" s="12">
        <v>5</v>
      </c>
      <c r="R40" s="12">
        <v>4</v>
      </c>
      <c r="S40" s="12">
        <v>5</v>
      </c>
      <c r="T40" s="12">
        <v>5</v>
      </c>
      <c r="U40" s="12">
        <v>5</v>
      </c>
      <c r="V40" s="12">
        <v>5</v>
      </c>
      <c r="W40" s="12">
        <v>2</v>
      </c>
      <c r="X40" s="12">
        <v>2</v>
      </c>
      <c r="Y40" s="12">
        <v>4</v>
      </c>
      <c r="Z40" s="12">
        <v>3</v>
      </c>
      <c r="AA40" s="12">
        <v>4</v>
      </c>
      <c r="AB40" s="13">
        <f t="shared" si="7"/>
        <v>64</v>
      </c>
      <c r="AC40" s="14"/>
    </row>
    <row r="41" ht="229.5" spans="1:29">
      <c r="A41" s="15"/>
      <c r="B41" s="10" t="s">
        <v>100</v>
      </c>
      <c r="C41" s="11" t="s">
        <v>101</v>
      </c>
      <c r="D41" s="12">
        <v>5</v>
      </c>
      <c r="E41" s="12">
        <v>5</v>
      </c>
      <c r="F41" s="12">
        <v>5</v>
      </c>
      <c r="G41" s="12">
        <v>5</v>
      </c>
      <c r="H41" s="12">
        <v>5</v>
      </c>
      <c r="I41" s="12">
        <v>5</v>
      </c>
      <c r="J41" s="12">
        <v>5</v>
      </c>
      <c r="K41" s="13">
        <f t="shared" si="6"/>
        <v>35</v>
      </c>
      <c r="L41" s="12">
        <v>5</v>
      </c>
      <c r="M41" s="12">
        <v>5</v>
      </c>
      <c r="N41" s="12">
        <v>2</v>
      </c>
      <c r="O41" s="12">
        <v>5</v>
      </c>
      <c r="P41" s="12">
        <v>3</v>
      </c>
      <c r="Q41" s="12">
        <v>5</v>
      </c>
      <c r="R41" s="12">
        <v>4</v>
      </c>
      <c r="S41" s="12">
        <v>5</v>
      </c>
      <c r="T41" s="12">
        <v>5</v>
      </c>
      <c r="U41" s="12">
        <v>5</v>
      </c>
      <c r="V41" s="12">
        <v>5</v>
      </c>
      <c r="W41" s="12">
        <v>2</v>
      </c>
      <c r="X41" s="12">
        <v>3</v>
      </c>
      <c r="Y41" s="12">
        <v>4</v>
      </c>
      <c r="Z41" s="12">
        <v>3</v>
      </c>
      <c r="AA41" s="12">
        <v>4</v>
      </c>
      <c r="AB41" s="13">
        <f t="shared" si="7"/>
        <v>65</v>
      </c>
      <c r="AC41" s="14"/>
    </row>
    <row r="42" ht="189" spans="1:29">
      <c r="A42" s="15"/>
      <c r="B42" s="10" t="s">
        <v>102</v>
      </c>
      <c r="C42" s="11" t="s">
        <v>103</v>
      </c>
      <c r="D42" s="12">
        <v>5</v>
      </c>
      <c r="E42" s="12">
        <v>5</v>
      </c>
      <c r="F42" s="12">
        <v>5</v>
      </c>
      <c r="G42" s="12">
        <v>5</v>
      </c>
      <c r="H42" s="12">
        <v>5</v>
      </c>
      <c r="I42" s="12">
        <v>5</v>
      </c>
      <c r="J42" s="12">
        <v>5</v>
      </c>
      <c r="K42" s="13">
        <f t="shared" si="6"/>
        <v>35</v>
      </c>
      <c r="L42" s="12">
        <v>5</v>
      </c>
      <c r="M42" s="12">
        <v>5</v>
      </c>
      <c r="N42" s="12">
        <v>3</v>
      </c>
      <c r="O42" s="12">
        <v>5</v>
      </c>
      <c r="P42" s="12">
        <v>3</v>
      </c>
      <c r="Q42" s="12">
        <v>5</v>
      </c>
      <c r="R42" s="12">
        <v>4</v>
      </c>
      <c r="S42" s="12">
        <v>5</v>
      </c>
      <c r="T42" s="12">
        <v>5</v>
      </c>
      <c r="U42" s="12">
        <v>5</v>
      </c>
      <c r="V42" s="12">
        <v>5</v>
      </c>
      <c r="W42" s="12">
        <v>4</v>
      </c>
      <c r="X42" s="12">
        <v>3</v>
      </c>
      <c r="Y42" s="12">
        <v>4</v>
      </c>
      <c r="Z42" s="12">
        <v>3</v>
      </c>
      <c r="AA42" s="12">
        <v>4</v>
      </c>
      <c r="AB42" s="13">
        <f t="shared" si="7"/>
        <v>68</v>
      </c>
      <c r="AC42" s="14"/>
    </row>
    <row r="43" ht="242" customHeight="1" spans="1:29">
      <c r="A43" s="15"/>
      <c r="B43" s="10" t="s">
        <v>104</v>
      </c>
      <c r="C43" s="11" t="s">
        <v>105</v>
      </c>
      <c r="D43" s="12">
        <v>5</v>
      </c>
      <c r="E43" s="12">
        <v>5</v>
      </c>
      <c r="F43" s="12">
        <v>5</v>
      </c>
      <c r="G43" s="12">
        <v>5</v>
      </c>
      <c r="H43" s="12">
        <v>5</v>
      </c>
      <c r="I43" s="12">
        <v>5</v>
      </c>
      <c r="J43" s="12">
        <v>5</v>
      </c>
      <c r="K43" s="13">
        <f t="shared" si="6"/>
        <v>35</v>
      </c>
      <c r="L43" s="12">
        <v>5</v>
      </c>
      <c r="M43" s="12">
        <v>5</v>
      </c>
      <c r="N43" s="12">
        <v>3</v>
      </c>
      <c r="O43" s="12">
        <v>5</v>
      </c>
      <c r="P43" s="12">
        <v>3</v>
      </c>
      <c r="Q43" s="12">
        <v>5</v>
      </c>
      <c r="R43" s="12">
        <v>4</v>
      </c>
      <c r="S43" s="12">
        <v>5</v>
      </c>
      <c r="T43" s="12">
        <v>5</v>
      </c>
      <c r="U43" s="12">
        <v>5</v>
      </c>
      <c r="V43" s="12">
        <v>5</v>
      </c>
      <c r="W43" s="12">
        <v>4</v>
      </c>
      <c r="X43" s="12">
        <v>3</v>
      </c>
      <c r="Y43" s="12">
        <v>4</v>
      </c>
      <c r="Z43" s="12">
        <v>3</v>
      </c>
      <c r="AA43" s="12">
        <v>5</v>
      </c>
      <c r="AB43" s="13">
        <f t="shared" si="7"/>
        <v>69</v>
      </c>
      <c r="AC43" s="14"/>
    </row>
    <row r="44" ht="203" customHeight="1" spans="1:29">
      <c r="A44" s="15"/>
      <c r="B44" s="10" t="s">
        <v>106</v>
      </c>
      <c r="C44" s="11" t="s">
        <v>107</v>
      </c>
      <c r="D44" s="12">
        <v>5</v>
      </c>
      <c r="E44" s="12">
        <v>5</v>
      </c>
      <c r="F44" s="12">
        <v>5</v>
      </c>
      <c r="G44" s="12">
        <v>5</v>
      </c>
      <c r="H44" s="12">
        <v>5</v>
      </c>
      <c r="I44" s="12">
        <v>5</v>
      </c>
      <c r="J44" s="12">
        <v>5</v>
      </c>
      <c r="K44" s="13">
        <f t="shared" si="6"/>
        <v>35</v>
      </c>
      <c r="L44" s="12">
        <v>5</v>
      </c>
      <c r="M44" s="12">
        <v>5</v>
      </c>
      <c r="N44" s="12">
        <v>3</v>
      </c>
      <c r="O44" s="12">
        <v>5</v>
      </c>
      <c r="P44" s="12">
        <v>3</v>
      </c>
      <c r="Q44" s="12">
        <v>5</v>
      </c>
      <c r="R44" s="12">
        <v>4</v>
      </c>
      <c r="S44" s="12">
        <v>5</v>
      </c>
      <c r="T44" s="12">
        <v>5</v>
      </c>
      <c r="U44" s="12">
        <v>5</v>
      </c>
      <c r="V44" s="12">
        <v>5</v>
      </c>
      <c r="W44" s="12">
        <v>4</v>
      </c>
      <c r="X44" s="12">
        <v>3</v>
      </c>
      <c r="Y44" s="12">
        <v>4</v>
      </c>
      <c r="Z44" s="12">
        <v>3</v>
      </c>
      <c r="AA44" s="12">
        <v>4</v>
      </c>
      <c r="AB44" s="13">
        <f t="shared" si="7"/>
        <v>68</v>
      </c>
      <c r="AC44" s="14"/>
    </row>
    <row r="45" ht="176" customHeight="1" spans="1:29">
      <c r="A45" s="15"/>
      <c r="B45" s="10" t="s">
        <v>108</v>
      </c>
      <c r="C45" s="11" t="s">
        <v>109</v>
      </c>
      <c r="D45" s="12">
        <v>5</v>
      </c>
      <c r="E45" s="12">
        <v>5</v>
      </c>
      <c r="F45" s="12">
        <v>5</v>
      </c>
      <c r="G45" s="12">
        <v>5</v>
      </c>
      <c r="H45" s="12">
        <v>5</v>
      </c>
      <c r="I45" s="12">
        <v>5</v>
      </c>
      <c r="J45" s="12">
        <v>5</v>
      </c>
      <c r="K45" s="13">
        <f t="shared" si="6"/>
        <v>35</v>
      </c>
      <c r="L45" s="12">
        <v>5</v>
      </c>
      <c r="M45" s="12">
        <v>5</v>
      </c>
      <c r="N45" s="12">
        <v>3</v>
      </c>
      <c r="O45" s="12">
        <v>5</v>
      </c>
      <c r="P45" s="12">
        <v>3</v>
      </c>
      <c r="Q45" s="12">
        <v>5</v>
      </c>
      <c r="R45" s="12">
        <v>4</v>
      </c>
      <c r="S45" s="12">
        <v>5</v>
      </c>
      <c r="T45" s="12">
        <v>5</v>
      </c>
      <c r="U45" s="12">
        <v>5</v>
      </c>
      <c r="V45" s="12">
        <v>5</v>
      </c>
      <c r="W45" s="12">
        <v>4</v>
      </c>
      <c r="X45" s="12">
        <v>3</v>
      </c>
      <c r="Y45" s="12">
        <v>4</v>
      </c>
      <c r="Z45" s="12">
        <v>3</v>
      </c>
      <c r="AA45" s="12">
        <v>4</v>
      </c>
      <c r="AB45" s="13">
        <f t="shared" si="7"/>
        <v>68</v>
      </c>
      <c r="AC45" s="14"/>
    </row>
    <row r="46" spans="1:29">
      <c r="D46">
        <f>AVERAGE(D32:D45)</f>
        <v>5</v>
      </c>
      <c r="E46">
        <f t="shared" ref="E46:AB46" si="8">AVERAGE(E32:E45)</f>
        <v>5</v>
      </c>
      <c r="F46">
        <f t="shared" si="8"/>
        <v>5</v>
      </c>
      <c r="G46">
        <f t="shared" si="8"/>
        <v>5</v>
      </c>
      <c r="H46">
        <f t="shared" si="8"/>
        <v>5</v>
      </c>
      <c r="I46">
        <f t="shared" si="8"/>
        <v>5</v>
      </c>
      <c r="J46">
        <f t="shared" si="8"/>
        <v>4.85714285714286</v>
      </c>
      <c r="K46">
        <f t="shared" si="8"/>
        <v>34.8571428571429</v>
      </c>
      <c r="L46">
        <f t="shared" si="8"/>
        <v>5</v>
      </c>
      <c r="M46">
        <f t="shared" si="8"/>
        <v>5</v>
      </c>
      <c r="N46">
        <f t="shared" si="8"/>
        <v>2.5</v>
      </c>
      <c r="O46">
        <f t="shared" si="8"/>
        <v>5</v>
      </c>
      <c r="P46">
        <f t="shared" si="8"/>
        <v>2.85714285714286</v>
      </c>
      <c r="Q46">
        <f t="shared" si="8"/>
        <v>5</v>
      </c>
      <c r="R46">
        <f t="shared" si="8"/>
        <v>4</v>
      </c>
      <c r="S46">
        <f t="shared" si="8"/>
        <v>5</v>
      </c>
      <c r="T46">
        <f t="shared" si="8"/>
        <v>5</v>
      </c>
      <c r="U46">
        <f t="shared" si="8"/>
        <v>5</v>
      </c>
      <c r="V46">
        <f t="shared" si="8"/>
        <v>5</v>
      </c>
      <c r="W46">
        <f t="shared" si="8"/>
        <v>3.14285714285714</v>
      </c>
      <c r="X46">
        <f t="shared" si="8"/>
        <v>2.85714285714286</v>
      </c>
      <c r="Y46">
        <f t="shared" si="8"/>
        <v>4</v>
      </c>
      <c r="Z46">
        <f t="shared" si="8"/>
        <v>3</v>
      </c>
      <c r="AA46">
        <f t="shared" si="8"/>
        <v>4.07142857142857</v>
      </c>
      <c r="AB46">
        <f t="shared" si="8"/>
        <v>66.4285714285714</v>
      </c>
    </row>
    <row r="48" ht="162" spans="1:29">
      <c r="A48" s="15" t="s">
        <v>110</v>
      </c>
      <c r="B48" s="10" t="s">
        <v>111</v>
      </c>
      <c r="C48" s="11" t="s">
        <v>112</v>
      </c>
      <c r="D48" s="12">
        <v>5</v>
      </c>
      <c r="E48" s="12">
        <v>5</v>
      </c>
      <c r="F48" s="12">
        <v>5</v>
      </c>
      <c r="G48" s="12">
        <v>5</v>
      </c>
      <c r="H48" s="12">
        <v>5</v>
      </c>
      <c r="I48" s="12">
        <v>5</v>
      </c>
      <c r="J48" s="12">
        <v>4</v>
      </c>
      <c r="K48" s="13">
        <f t="shared" ref="K48:K50" si="9">SUM(D48:J48)</f>
        <v>34</v>
      </c>
      <c r="L48" s="12">
        <v>5</v>
      </c>
      <c r="M48" s="12">
        <v>5</v>
      </c>
      <c r="N48" s="12">
        <v>2</v>
      </c>
      <c r="O48" s="12">
        <v>5</v>
      </c>
      <c r="P48" s="12">
        <v>2</v>
      </c>
      <c r="Q48" s="12">
        <v>5</v>
      </c>
      <c r="R48" s="12">
        <v>4</v>
      </c>
      <c r="S48" s="12">
        <v>5</v>
      </c>
      <c r="T48" s="12">
        <v>5</v>
      </c>
      <c r="U48" s="12">
        <v>5</v>
      </c>
      <c r="V48" s="12">
        <v>5</v>
      </c>
      <c r="W48" s="12">
        <v>4</v>
      </c>
      <c r="X48" s="12">
        <v>2</v>
      </c>
      <c r="Y48" s="12">
        <v>3</v>
      </c>
      <c r="Z48" s="12">
        <v>3</v>
      </c>
      <c r="AA48" s="12">
        <v>5</v>
      </c>
      <c r="AB48" s="13">
        <f t="shared" ref="AB48:AB50" si="10">SUM(L48:AA48)</f>
        <v>65</v>
      </c>
      <c r="AC48" s="14"/>
    </row>
    <row r="49" ht="175.5" spans="1:29">
      <c r="A49" s="15"/>
      <c r="B49" s="10" t="s">
        <v>113</v>
      </c>
      <c r="C49" s="11" t="s">
        <v>114</v>
      </c>
      <c r="D49" s="12">
        <v>5</v>
      </c>
      <c r="E49" s="12">
        <v>5</v>
      </c>
      <c r="F49" s="12">
        <v>5</v>
      </c>
      <c r="G49" s="12">
        <v>5</v>
      </c>
      <c r="H49" s="12">
        <v>5</v>
      </c>
      <c r="I49" s="12">
        <v>5</v>
      </c>
      <c r="J49" s="12">
        <v>5</v>
      </c>
      <c r="K49" s="13">
        <f t="shared" si="9"/>
        <v>35</v>
      </c>
      <c r="L49" s="12">
        <v>5</v>
      </c>
      <c r="M49" s="12">
        <v>5</v>
      </c>
      <c r="N49" s="12">
        <v>2</v>
      </c>
      <c r="O49" s="12">
        <v>5</v>
      </c>
      <c r="P49" s="12">
        <v>2</v>
      </c>
      <c r="Q49" s="12">
        <v>5</v>
      </c>
      <c r="R49" s="12">
        <v>4</v>
      </c>
      <c r="S49" s="12">
        <v>5</v>
      </c>
      <c r="T49" s="12">
        <v>5</v>
      </c>
      <c r="U49" s="12">
        <v>5</v>
      </c>
      <c r="V49" s="12">
        <v>5</v>
      </c>
      <c r="W49" s="12">
        <v>4</v>
      </c>
      <c r="X49" s="12">
        <v>2</v>
      </c>
      <c r="Y49" s="12">
        <v>3</v>
      </c>
      <c r="Z49" s="12">
        <v>3</v>
      </c>
      <c r="AA49" s="12">
        <v>5</v>
      </c>
      <c r="AB49" s="13">
        <f t="shared" si="10"/>
        <v>65</v>
      </c>
      <c r="AC49" s="14"/>
    </row>
    <row r="50" ht="243" spans="1:29">
      <c r="A50" s="21"/>
      <c r="B50" s="10" t="s">
        <v>115</v>
      </c>
      <c r="C50" s="11" t="s">
        <v>116</v>
      </c>
      <c r="D50" s="12">
        <v>5</v>
      </c>
      <c r="E50" s="12">
        <v>5</v>
      </c>
      <c r="F50" s="12">
        <v>5</v>
      </c>
      <c r="G50" s="12">
        <v>5</v>
      </c>
      <c r="H50" s="12">
        <v>5</v>
      </c>
      <c r="I50" s="12">
        <v>5</v>
      </c>
      <c r="J50" s="12">
        <v>5</v>
      </c>
      <c r="K50" s="13">
        <f t="shared" si="9"/>
        <v>35</v>
      </c>
      <c r="L50" s="12">
        <v>5</v>
      </c>
      <c r="M50" s="12">
        <v>5</v>
      </c>
      <c r="N50" s="12">
        <v>2</v>
      </c>
      <c r="O50" s="12">
        <v>5</v>
      </c>
      <c r="P50" s="12">
        <v>2</v>
      </c>
      <c r="Q50" s="12">
        <v>5</v>
      </c>
      <c r="R50" s="12">
        <v>4</v>
      </c>
      <c r="S50" s="12">
        <v>5</v>
      </c>
      <c r="T50" s="12">
        <v>5</v>
      </c>
      <c r="U50" s="12">
        <v>5</v>
      </c>
      <c r="V50" s="12">
        <v>5</v>
      </c>
      <c r="W50" s="12">
        <v>4</v>
      </c>
      <c r="X50" s="12">
        <v>3</v>
      </c>
      <c r="Y50" s="12">
        <v>3</v>
      </c>
      <c r="Z50" s="12">
        <v>3</v>
      </c>
      <c r="AA50" s="12">
        <v>5</v>
      </c>
      <c r="AB50" s="13">
        <f t="shared" si="10"/>
        <v>66</v>
      </c>
      <c r="AC50" s="14"/>
    </row>
    <row r="51" spans="1:29">
      <c r="D51">
        <f>AVERAGE(D48:D50)</f>
        <v>5</v>
      </c>
      <c r="E51">
        <f t="shared" ref="E51:AB51" si="11">AVERAGE(E48:E50)</f>
        <v>5</v>
      </c>
      <c r="F51">
        <f t="shared" si="11"/>
        <v>5</v>
      </c>
      <c r="G51">
        <f t="shared" si="11"/>
        <v>5</v>
      </c>
      <c r="H51">
        <f t="shared" si="11"/>
        <v>5</v>
      </c>
      <c r="I51">
        <f t="shared" si="11"/>
        <v>5</v>
      </c>
      <c r="J51">
        <f t="shared" si="11"/>
        <v>4.66666666666667</v>
      </c>
      <c r="K51">
        <f t="shared" si="11"/>
        <v>34.6666666666667</v>
      </c>
      <c r="L51">
        <f t="shared" si="11"/>
        <v>5</v>
      </c>
      <c r="M51">
        <f t="shared" si="11"/>
        <v>5</v>
      </c>
      <c r="N51">
        <f t="shared" si="11"/>
        <v>2</v>
      </c>
      <c r="O51">
        <f t="shared" si="11"/>
        <v>5</v>
      </c>
      <c r="P51">
        <f t="shared" si="11"/>
        <v>2</v>
      </c>
      <c r="Q51">
        <f t="shared" si="11"/>
        <v>5</v>
      </c>
      <c r="R51">
        <f t="shared" si="11"/>
        <v>4</v>
      </c>
      <c r="S51">
        <f t="shared" si="11"/>
        <v>5</v>
      </c>
      <c r="T51">
        <f t="shared" si="11"/>
        <v>5</v>
      </c>
      <c r="U51">
        <f t="shared" si="11"/>
        <v>5</v>
      </c>
      <c r="V51">
        <f t="shared" si="11"/>
        <v>5</v>
      </c>
      <c r="W51">
        <f t="shared" si="11"/>
        <v>4</v>
      </c>
      <c r="X51">
        <f t="shared" si="11"/>
        <v>2.33333333333333</v>
      </c>
      <c r="Y51">
        <f t="shared" si="11"/>
        <v>3</v>
      </c>
      <c r="Z51">
        <f t="shared" si="11"/>
        <v>3</v>
      </c>
      <c r="AA51">
        <f t="shared" si="11"/>
        <v>5</v>
      </c>
      <c r="AB51">
        <f t="shared" si="11"/>
        <v>65.3333333333333</v>
      </c>
    </row>
    <row r="53" ht="148.5" spans="1:29">
      <c r="A53" s="22" t="s">
        <v>117</v>
      </c>
      <c r="B53" s="10" t="s">
        <v>118</v>
      </c>
      <c r="C53" s="11" t="s">
        <v>119</v>
      </c>
      <c r="D53" s="12">
        <v>5</v>
      </c>
      <c r="E53" s="12">
        <v>5</v>
      </c>
      <c r="F53" s="12">
        <v>5</v>
      </c>
      <c r="G53" s="12">
        <v>5</v>
      </c>
      <c r="H53" s="12">
        <v>5</v>
      </c>
      <c r="I53" s="12">
        <v>5</v>
      </c>
      <c r="J53" s="12">
        <v>5</v>
      </c>
      <c r="K53" s="13">
        <f t="shared" ref="K53:K60" si="12">SUM(D53:J53)</f>
        <v>35</v>
      </c>
      <c r="L53" s="12">
        <v>5</v>
      </c>
      <c r="M53" s="12">
        <v>5</v>
      </c>
      <c r="N53" s="12">
        <v>3</v>
      </c>
      <c r="O53" s="12">
        <v>5</v>
      </c>
      <c r="P53" s="12">
        <v>2</v>
      </c>
      <c r="Q53" s="12">
        <v>4</v>
      </c>
      <c r="R53" s="12">
        <v>4</v>
      </c>
      <c r="S53" s="12">
        <v>5</v>
      </c>
      <c r="T53" s="12">
        <v>5</v>
      </c>
      <c r="U53" s="12">
        <v>5</v>
      </c>
      <c r="V53" s="12">
        <v>5</v>
      </c>
      <c r="W53" s="12">
        <v>4</v>
      </c>
      <c r="X53" s="12">
        <v>2</v>
      </c>
      <c r="Y53" s="12">
        <v>5</v>
      </c>
      <c r="Z53" s="12">
        <v>3</v>
      </c>
      <c r="AA53" s="12">
        <v>4</v>
      </c>
      <c r="AB53" s="13">
        <f t="shared" ref="AB53:AB60" si="13">SUM(L53:AA53)</f>
        <v>66</v>
      </c>
      <c r="AC53" s="14"/>
    </row>
    <row r="54" ht="283.5" spans="1:29">
      <c r="A54" s="22"/>
      <c r="B54" s="10" t="s">
        <v>120</v>
      </c>
      <c r="C54" s="11" t="s">
        <v>121</v>
      </c>
      <c r="D54" s="12">
        <v>5</v>
      </c>
      <c r="E54" s="12">
        <v>5</v>
      </c>
      <c r="F54" s="12">
        <v>5</v>
      </c>
      <c r="G54" s="12">
        <v>5</v>
      </c>
      <c r="H54" s="12">
        <v>5</v>
      </c>
      <c r="I54" s="12">
        <v>5</v>
      </c>
      <c r="J54" s="12">
        <v>5</v>
      </c>
      <c r="K54" s="13">
        <f t="shared" si="12"/>
        <v>35</v>
      </c>
      <c r="L54" s="12">
        <v>5</v>
      </c>
      <c r="M54" s="12">
        <v>5</v>
      </c>
      <c r="N54" s="12">
        <v>3</v>
      </c>
      <c r="O54" s="12">
        <v>5</v>
      </c>
      <c r="P54" s="12">
        <v>2</v>
      </c>
      <c r="Q54" s="12">
        <v>4</v>
      </c>
      <c r="R54" s="12">
        <v>4</v>
      </c>
      <c r="S54" s="12">
        <v>5</v>
      </c>
      <c r="T54" s="12">
        <v>5</v>
      </c>
      <c r="U54" s="12">
        <v>5</v>
      </c>
      <c r="V54" s="12">
        <v>5</v>
      </c>
      <c r="W54" s="12">
        <v>4</v>
      </c>
      <c r="X54" s="12">
        <v>2</v>
      </c>
      <c r="Y54" s="12">
        <v>4</v>
      </c>
      <c r="Z54" s="12">
        <v>3</v>
      </c>
      <c r="AA54" s="12">
        <v>4</v>
      </c>
      <c r="AB54" s="13">
        <f t="shared" si="13"/>
        <v>65</v>
      </c>
      <c r="AC54" s="14"/>
    </row>
    <row r="55" ht="310.5" spans="1:29">
      <c r="A55" s="22"/>
      <c r="B55" s="10" t="s">
        <v>122</v>
      </c>
      <c r="C55" s="11" t="s">
        <v>123</v>
      </c>
      <c r="D55" s="12">
        <v>5</v>
      </c>
      <c r="E55" s="12">
        <v>5</v>
      </c>
      <c r="F55" s="12">
        <v>5</v>
      </c>
      <c r="G55" s="12">
        <v>5</v>
      </c>
      <c r="H55" s="12">
        <v>5</v>
      </c>
      <c r="I55" s="12">
        <v>5</v>
      </c>
      <c r="J55" s="12">
        <v>5</v>
      </c>
      <c r="K55" s="13">
        <f t="shared" si="12"/>
        <v>35</v>
      </c>
      <c r="L55" s="12">
        <v>5</v>
      </c>
      <c r="M55" s="12">
        <v>5</v>
      </c>
      <c r="N55" s="12">
        <v>3</v>
      </c>
      <c r="O55" s="12">
        <v>5</v>
      </c>
      <c r="P55" s="12">
        <v>2</v>
      </c>
      <c r="Q55" s="12">
        <v>4</v>
      </c>
      <c r="R55" s="12">
        <v>4</v>
      </c>
      <c r="S55" s="12">
        <v>5</v>
      </c>
      <c r="T55" s="12">
        <v>5</v>
      </c>
      <c r="U55" s="12">
        <v>5</v>
      </c>
      <c r="V55" s="12">
        <v>5</v>
      </c>
      <c r="W55" s="12">
        <v>4</v>
      </c>
      <c r="X55" s="12">
        <v>2</v>
      </c>
      <c r="Y55" s="12">
        <v>4</v>
      </c>
      <c r="Z55" s="12">
        <v>3</v>
      </c>
      <c r="AA55" s="12">
        <v>4</v>
      </c>
      <c r="AB55" s="13">
        <f t="shared" si="13"/>
        <v>65</v>
      </c>
      <c r="AC55" s="14"/>
    </row>
    <row r="56" ht="121" customHeight="1" spans="1:29">
      <c r="A56" s="22"/>
      <c r="B56" s="10" t="s">
        <v>124</v>
      </c>
      <c r="C56" s="11" t="s">
        <v>125</v>
      </c>
      <c r="D56" s="12">
        <v>5</v>
      </c>
      <c r="E56" s="12">
        <v>5</v>
      </c>
      <c r="F56" s="12">
        <v>5</v>
      </c>
      <c r="G56" s="12">
        <v>5</v>
      </c>
      <c r="H56" s="12">
        <v>5</v>
      </c>
      <c r="I56" s="12">
        <v>5</v>
      </c>
      <c r="J56" s="12">
        <v>5</v>
      </c>
      <c r="K56" s="13">
        <f t="shared" si="12"/>
        <v>35</v>
      </c>
      <c r="L56" s="12">
        <v>5</v>
      </c>
      <c r="M56" s="12">
        <v>5</v>
      </c>
      <c r="N56" s="12">
        <v>3</v>
      </c>
      <c r="O56" s="12">
        <v>5</v>
      </c>
      <c r="P56" s="12">
        <v>3</v>
      </c>
      <c r="Q56" s="12">
        <v>4</v>
      </c>
      <c r="R56" s="12">
        <v>4</v>
      </c>
      <c r="S56" s="12">
        <v>5</v>
      </c>
      <c r="T56" s="12">
        <v>5</v>
      </c>
      <c r="U56" s="12">
        <v>5</v>
      </c>
      <c r="V56" s="12">
        <v>5</v>
      </c>
      <c r="W56" s="12">
        <v>4</v>
      </c>
      <c r="X56" s="12">
        <v>3</v>
      </c>
      <c r="Y56" s="12">
        <v>4</v>
      </c>
      <c r="Z56" s="12">
        <v>3</v>
      </c>
      <c r="AA56" s="12">
        <v>4</v>
      </c>
      <c r="AB56" s="13">
        <f t="shared" si="13"/>
        <v>67</v>
      </c>
      <c r="AC56" s="14"/>
    </row>
    <row r="57" ht="168" customHeight="1" spans="1:29">
      <c r="A57" s="22"/>
      <c r="B57" s="10" t="s">
        <v>126</v>
      </c>
      <c r="C57" s="11" t="s">
        <v>127</v>
      </c>
      <c r="D57" s="12">
        <v>5</v>
      </c>
      <c r="E57" s="12">
        <v>5</v>
      </c>
      <c r="F57" s="12">
        <v>5</v>
      </c>
      <c r="G57" s="12">
        <v>5</v>
      </c>
      <c r="H57" s="12">
        <v>5</v>
      </c>
      <c r="I57" s="12">
        <v>5</v>
      </c>
      <c r="J57" s="12">
        <v>5</v>
      </c>
      <c r="K57" s="13">
        <f t="shared" si="12"/>
        <v>35</v>
      </c>
      <c r="L57" s="12">
        <v>5</v>
      </c>
      <c r="M57" s="12">
        <v>5</v>
      </c>
      <c r="N57" s="12">
        <v>2</v>
      </c>
      <c r="O57" s="12">
        <v>5</v>
      </c>
      <c r="P57" s="12">
        <v>2</v>
      </c>
      <c r="Q57" s="12">
        <v>4</v>
      </c>
      <c r="R57" s="12">
        <v>4</v>
      </c>
      <c r="S57" s="12">
        <v>5</v>
      </c>
      <c r="T57" s="12">
        <v>5</v>
      </c>
      <c r="U57" s="12">
        <v>5</v>
      </c>
      <c r="V57" s="12">
        <v>5</v>
      </c>
      <c r="W57" s="12">
        <v>4</v>
      </c>
      <c r="X57" s="12">
        <v>3</v>
      </c>
      <c r="Y57" s="12">
        <v>3</v>
      </c>
      <c r="Z57" s="12">
        <v>3</v>
      </c>
      <c r="AA57" s="12">
        <v>3</v>
      </c>
      <c r="AB57" s="13">
        <f t="shared" si="13"/>
        <v>63</v>
      </c>
      <c r="AC57" s="14"/>
    </row>
    <row r="58" ht="135" spans="1:29">
      <c r="A58" s="22"/>
      <c r="B58" s="10" t="s">
        <v>128</v>
      </c>
      <c r="C58" s="11" t="s">
        <v>129</v>
      </c>
      <c r="D58" s="12">
        <v>5</v>
      </c>
      <c r="E58" s="12">
        <v>5</v>
      </c>
      <c r="F58" s="12">
        <v>5</v>
      </c>
      <c r="G58" s="12">
        <v>5</v>
      </c>
      <c r="H58" s="12">
        <v>5</v>
      </c>
      <c r="I58" s="12">
        <v>5</v>
      </c>
      <c r="J58" s="12">
        <v>5</v>
      </c>
      <c r="K58" s="13">
        <f t="shared" si="12"/>
        <v>35</v>
      </c>
      <c r="L58" s="12">
        <v>5</v>
      </c>
      <c r="M58" s="12">
        <v>3</v>
      </c>
      <c r="N58" s="12">
        <v>3</v>
      </c>
      <c r="O58" s="12">
        <v>5</v>
      </c>
      <c r="P58" s="12">
        <v>1</v>
      </c>
      <c r="Q58" s="12">
        <v>4</v>
      </c>
      <c r="R58" s="12">
        <v>4</v>
      </c>
      <c r="S58" s="12">
        <v>5</v>
      </c>
      <c r="T58" s="12">
        <v>5</v>
      </c>
      <c r="U58" s="12">
        <v>5</v>
      </c>
      <c r="V58" s="12">
        <v>5</v>
      </c>
      <c r="W58" s="12">
        <v>4</v>
      </c>
      <c r="X58" s="12">
        <v>3</v>
      </c>
      <c r="Y58" s="12">
        <v>3</v>
      </c>
      <c r="Z58" s="12">
        <v>3</v>
      </c>
      <c r="AA58" s="12">
        <v>3</v>
      </c>
      <c r="AB58" s="13">
        <f t="shared" si="13"/>
        <v>61</v>
      </c>
      <c r="AC58" s="14"/>
    </row>
    <row r="59" ht="121.5" spans="1:29">
      <c r="A59" s="22"/>
      <c r="B59" s="10" t="s">
        <v>130</v>
      </c>
      <c r="C59" s="11" t="s">
        <v>131</v>
      </c>
      <c r="D59" s="12">
        <v>5</v>
      </c>
      <c r="E59" s="12">
        <v>5</v>
      </c>
      <c r="F59" s="12">
        <v>5</v>
      </c>
      <c r="G59" s="12">
        <v>5</v>
      </c>
      <c r="H59" s="12">
        <v>5</v>
      </c>
      <c r="I59" s="12">
        <v>5</v>
      </c>
      <c r="J59" s="12">
        <v>5</v>
      </c>
      <c r="K59" s="13">
        <f t="shared" si="12"/>
        <v>35</v>
      </c>
      <c r="L59" s="12">
        <v>5</v>
      </c>
      <c r="M59" s="12">
        <v>5</v>
      </c>
      <c r="N59" s="12">
        <v>2</v>
      </c>
      <c r="O59" s="12">
        <v>5</v>
      </c>
      <c r="P59" s="12">
        <v>2</v>
      </c>
      <c r="Q59" s="12">
        <v>4</v>
      </c>
      <c r="R59" s="12">
        <v>4</v>
      </c>
      <c r="S59" s="12">
        <v>5</v>
      </c>
      <c r="T59" s="12">
        <v>5</v>
      </c>
      <c r="U59" s="12">
        <v>5</v>
      </c>
      <c r="V59" s="12">
        <v>5</v>
      </c>
      <c r="W59" s="12">
        <v>4</v>
      </c>
      <c r="X59" s="12">
        <v>2</v>
      </c>
      <c r="Y59" s="12">
        <v>3</v>
      </c>
      <c r="Z59" s="12">
        <v>3</v>
      </c>
      <c r="AA59" s="12">
        <v>3</v>
      </c>
      <c r="AB59" s="13">
        <f t="shared" si="13"/>
        <v>62</v>
      </c>
      <c r="AC59" s="13"/>
    </row>
    <row r="60" customFormat="1" ht="148.5" spans="1:29">
      <c r="A60" s="23"/>
      <c r="B60" s="10" t="s">
        <v>132</v>
      </c>
      <c r="C60" s="11" t="s">
        <v>133</v>
      </c>
      <c r="D60" s="12">
        <v>5</v>
      </c>
      <c r="E60" s="12">
        <v>5</v>
      </c>
      <c r="F60" s="12">
        <v>5</v>
      </c>
      <c r="G60" s="12">
        <v>5</v>
      </c>
      <c r="H60" s="12">
        <v>5</v>
      </c>
      <c r="I60" s="12">
        <v>5</v>
      </c>
      <c r="J60" s="12">
        <v>5</v>
      </c>
      <c r="K60" s="13">
        <f t="shared" si="12"/>
        <v>35</v>
      </c>
      <c r="L60" s="12">
        <v>5</v>
      </c>
      <c r="M60" s="12">
        <v>5</v>
      </c>
      <c r="N60" s="12">
        <v>2</v>
      </c>
      <c r="O60" s="12">
        <v>5</v>
      </c>
      <c r="P60" s="12">
        <v>2</v>
      </c>
      <c r="Q60" s="12">
        <v>4</v>
      </c>
      <c r="R60" s="12">
        <v>4</v>
      </c>
      <c r="S60" s="12">
        <v>5</v>
      </c>
      <c r="T60" s="12">
        <v>5</v>
      </c>
      <c r="U60" s="12">
        <v>5</v>
      </c>
      <c r="V60" s="12">
        <v>5</v>
      </c>
      <c r="W60" s="12">
        <v>4</v>
      </c>
      <c r="X60" s="12">
        <v>1</v>
      </c>
      <c r="Y60" s="12">
        <v>3</v>
      </c>
      <c r="Z60" s="12">
        <v>3</v>
      </c>
      <c r="AA60" s="12">
        <v>3</v>
      </c>
      <c r="AB60" s="13">
        <f t="shared" si="13"/>
        <v>61</v>
      </c>
      <c r="AC60" s="14"/>
    </row>
    <row r="61" spans="1:29">
      <c r="D61">
        <f>AVERAGE(D53:D60)</f>
        <v>5</v>
      </c>
      <c r="E61">
        <f t="shared" ref="E61:AB61" si="14">AVERAGE(E53:E60)</f>
        <v>5</v>
      </c>
      <c r="F61">
        <f t="shared" si="14"/>
        <v>5</v>
      </c>
      <c r="G61">
        <f t="shared" si="14"/>
        <v>5</v>
      </c>
      <c r="H61">
        <f t="shared" si="14"/>
        <v>5</v>
      </c>
      <c r="I61">
        <f t="shared" si="14"/>
        <v>5</v>
      </c>
      <c r="J61">
        <f t="shared" si="14"/>
        <v>5</v>
      </c>
      <c r="K61">
        <f t="shared" si="14"/>
        <v>35</v>
      </c>
      <c r="L61">
        <f t="shared" si="14"/>
        <v>5</v>
      </c>
      <c r="M61">
        <f t="shared" si="14"/>
        <v>4.75</v>
      </c>
      <c r="N61">
        <f t="shared" si="14"/>
        <v>2.625</v>
      </c>
      <c r="O61">
        <f t="shared" si="14"/>
        <v>5</v>
      </c>
      <c r="P61">
        <f t="shared" si="14"/>
        <v>2</v>
      </c>
      <c r="Q61">
        <f t="shared" si="14"/>
        <v>4</v>
      </c>
      <c r="R61">
        <f t="shared" si="14"/>
        <v>4</v>
      </c>
      <c r="S61">
        <f t="shared" si="14"/>
        <v>5</v>
      </c>
      <c r="T61">
        <f t="shared" si="14"/>
        <v>5</v>
      </c>
      <c r="U61">
        <f t="shared" si="14"/>
        <v>5</v>
      </c>
      <c r="V61">
        <f t="shared" si="14"/>
        <v>5</v>
      </c>
      <c r="W61">
        <f t="shared" si="14"/>
        <v>4</v>
      </c>
      <c r="X61">
        <f t="shared" si="14"/>
        <v>2.25</v>
      </c>
      <c r="Y61">
        <f t="shared" si="14"/>
        <v>3.625</v>
      </c>
      <c r="Z61">
        <f t="shared" si="14"/>
        <v>3</v>
      </c>
      <c r="AA61">
        <f t="shared" si="14"/>
        <v>3.5</v>
      </c>
      <c r="AB61">
        <f t="shared" si="14"/>
        <v>63.75</v>
      </c>
    </row>
  </sheetData>
  <mergeCells count="6">
    <mergeCell ref="A1:AB1"/>
    <mergeCell ref="A3:A9"/>
    <mergeCell ref="A12:A29"/>
    <mergeCell ref="A32:A45"/>
    <mergeCell ref="A48:A50"/>
    <mergeCell ref="A53:A5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zoomScale="50" zoomScaleNormal="50" topLeftCell="C72" workbookViewId="0">
      <selection activeCell="AC58" sqref="AC$1:AC$1048576"/>
    </sheetView>
  </sheetViews>
  <sheetFormatPr defaultColWidth="9.02654867256637" defaultRowHeight="13.5"/>
  <cols>
    <col min="2" max="2" width="42.8141592920354" customWidth="1"/>
    <col min="3" max="3" width="45.8053097345133"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204" customHeight="1" spans="1:29">
      <c r="A3" s="9" t="s">
        <v>142</v>
      </c>
      <c r="B3" s="10" t="s">
        <v>193</v>
      </c>
      <c r="C3" s="11" t="s">
        <v>194</v>
      </c>
      <c r="D3" s="12">
        <v>5</v>
      </c>
      <c r="E3" s="12">
        <v>5</v>
      </c>
      <c r="F3" s="12">
        <v>5</v>
      </c>
      <c r="G3" s="12">
        <v>5</v>
      </c>
      <c r="H3" s="12">
        <v>5</v>
      </c>
      <c r="I3" s="12">
        <v>5</v>
      </c>
      <c r="J3" s="12">
        <v>5</v>
      </c>
      <c r="K3" s="13">
        <f t="shared" ref="K3:K1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12" si="1">SUM(L3:AA3)</f>
        <v>62</v>
      </c>
      <c r="AC3" s="14"/>
    </row>
    <row r="4" ht="135" spans="1:29">
      <c r="A4" s="15"/>
      <c r="B4" s="10" t="s">
        <v>195</v>
      </c>
      <c r="C4" s="11" t="s">
        <v>196</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14"/>
    </row>
    <row r="5" ht="189" spans="1:29">
      <c r="A5" s="15"/>
      <c r="B5" s="10" t="s">
        <v>197</v>
      </c>
      <c r="C5" s="11" t="s">
        <v>198</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14"/>
    </row>
    <row r="6" ht="94" customHeight="1" spans="1:29">
      <c r="A6" s="15"/>
      <c r="B6" s="10" t="s">
        <v>199</v>
      </c>
      <c r="C6" s="11" t="s">
        <v>200</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14"/>
    </row>
    <row r="7" ht="135" spans="1:29">
      <c r="A7" s="15"/>
      <c r="B7" s="10" t="s">
        <v>201</v>
      </c>
      <c r="C7" s="11" t="s">
        <v>202</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14"/>
    </row>
    <row r="8" ht="96" customHeight="1" spans="1:29">
      <c r="A8" s="15"/>
      <c r="B8" s="10" t="s">
        <v>203</v>
      </c>
      <c r="C8" s="11" t="s">
        <v>204</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14"/>
    </row>
    <row r="9" ht="121.5" spans="1:29">
      <c r="A9" s="15"/>
      <c r="B9" s="10" t="s">
        <v>205</v>
      </c>
      <c r="C9" s="11" t="s">
        <v>206</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14"/>
    </row>
    <row r="10" ht="94.5" spans="1:29">
      <c r="A10" s="15"/>
      <c r="B10" s="10" t="s">
        <v>296</v>
      </c>
      <c r="C10" s="11" t="s">
        <v>297</v>
      </c>
      <c r="D10" s="12">
        <v>5</v>
      </c>
      <c r="E10" s="12">
        <v>5</v>
      </c>
      <c r="F10" s="12">
        <v>5</v>
      </c>
      <c r="G10" s="12">
        <v>5</v>
      </c>
      <c r="H10" s="12">
        <v>5</v>
      </c>
      <c r="I10" s="12">
        <v>5</v>
      </c>
      <c r="J10" s="12">
        <v>5</v>
      </c>
      <c r="K10" s="13">
        <f t="shared" si="0"/>
        <v>35</v>
      </c>
      <c r="L10" s="12">
        <v>5</v>
      </c>
      <c r="M10" s="12">
        <v>5</v>
      </c>
      <c r="N10" s="12">
        <v>3</v>
      </c>
      <c r="O10" s="12">
        <v>4</v>
      </c>
      <c r="P10" s="12">
        <v>1</v>
      </c>
      <c r="Q10" s="12">
        <v>4</v>
      </c>
      <c r="R10" s="12">
        <v>4</v>
      </c>
      <c r="S10" s="12">
        <v>3</v>
      </c>
      <c r="T10" s="12">
        <v>5</v>
      </c>
      <c r="U10" s="12">
        <v>5</v>
      </c>
      <c r="V10" s="12">
        <v>5</v>
      </c>
      <c r="W10" s="12">
        <v>4</v>
      </c>
      <c r="X10" s="12">
        <v>1</v>
      </c>
      <c r="Y10" s="12">
        <v>3</v>
      </c>
      <c r="Z10" s="12">
        <v>3</v>
      </c>
      <c r="AA10" s="12">
        <v>3</v>
      </c>
      <c r="AB10" s="13">
        <f t="shared" si="1"/>
        <v>58</v>
      </c>
      <c r="AC10" s="14"/>
    </row>
    <row r="11" ht="108" spans="1:29">
      <c r="A11" s="15"/>
      <c r="B11" s="10" t="s">
        <v>298</v>
      </c>
      <c r="C11" s="11" t="s">
        <v>299</v>
      </c>
      <c r="D11" s="12">
        <v>5</v>
      </c>
      <c r="E11" s="12">
        <v>5</v>
      </c>
      <c r="F11" s="12">
        <v>5</v>
      </c>
      <c r="G11" s="12">
        <v>5</v>
      </c>
      <c r="H11" s="12">
        <v>5</v>
      </c>
      <c r="I11" s="12">
        <v>5</v>
      </c>
      <c r="J11" s="12">
        <v>5</v>
      </c>
      <c r="K11" s="13">
        <f t="shared" si="0"/>
        <v>35</v>
      </c>
      <c r="L11" s="12">
        <v>5</v>
      </c>
      <c r="M11" s="12">
        <v>5</v>
      </c>
      <c r="N11" s="12">
        <v>3</v>
      </c>
      <c r="O11" s="12">
        <v>4</v>
      </c>
      <c r="P11" s="12">
        <v>1</v>
      </c>
      <c r="Q11" s="12">
        <v>4</v>
      </c>
      <c r="R11" s="12">
        <v>4</v>
      </c>
      <c r="S11" s="12">
        <v>3</v>
      </c>
      <c r="T11" s="12">
        <v>5</v>
      </c>
      <c r="U11" s="12">
        <v>5</v>
      </c>
      <c r="V11" s="12">
        <v>5</v>
      </c>
      <c r="W11" s="12">
        <v>4</v>
      </c>
      <c r="X11" s="12">
        <v>1</v>
      </c>
      <c r="Y11" s="12">
        <v>3</v>
      </c>
      <c r="Z11" s="12">
        <v>3</v>
      </c>
      <c r="AA11" s="12">
        <v>3</v>
      </c>
      <c r="AB11" s="13">
        <f t="shared" si="1"/>
        <v>58</v>
      </c>
      <c r="AC11" s="14"/>
    </row>
    <row r="12" ht="121.5" spans="1:29">
      <c r="A12" s="15"/>
      <c r="B12" s="10" t="s">
        <v>300</v>
      </c>
      <c r="C12" s="11" t="s">
        <v>301</v>
      </c>
      <c r="D12" s="12">
        <v>5</v>
      </c>
      <c r="E12" s="12">
        <v>5</v>
      </c>
      <c r="F12" s="12">
        <v>5</v>
      </c>
      <c r="G12" s="12">
        <v>5</v>
      </c>
      <c r="H12" s="12">
        <v>5</v>
      </c>
      <c r="I12" s="12">
        <v>5</v>
      </c>
      <c r="J12" s="12">
        <v>5</v>
      </c>
      <c r="K12" s="13">
        <f t="shared" si="0"/>
        <v>35</v>
      </c>
      <c r="L12" s="12">
        <v>5</v>
      </c>
      <c r="M12" s="12">
        <v>5</v>
      </c>
      <c r="N12" s="12">
        <v>3</v>
      </c>
      <c r="O12" s="12">
        <v>4</v>
      </c>
      <c r="P12" s="12">
        <v>1</v>
      </c>
      <c r="Q12" s="12">
        <v>4</v>
      </c>
      <c r="R12" s="12">
        <v>4</v>
      </c>
      <c r="S12" s="12">
        <v>3</v>
      </c>
      <c r="T12" s="12">
        <v>5</v>
      </c>
      <c r="U12" s="12">
        <v>5</v>
      </c>
      <c r="V12" s="12">
        <v>5</v>
      </c>
      <c r="W12" s="12">
        <v>4</v>
      </c>
      <c r="X12" s="12">
        <v>1</v>
      </c>
      <c r="Y12" s="12">
        <v>3</v>
      </c>
      <c r="Z12" s="12">
        <v>3</v>
      </c>
      <c r="AA12" s="12">
        <v>3</v>
      </c>
      <c r="AB12" s="13">
        <f t="shared" si="1"/>
        <v>58</v>
      </c>
      <c r="AC12" s="14"/>
    </row>
    <row r="13" spans="1:29">
      <c r="D13">
        <f>AVERAGE(D3:D12)</f>
        <v>5</v>
      </c>
      <c r="E13">
        <f t="shared" ref="E13:AB13" si="2">AVERAGE(E3:E12)</f>
        <v>5</v>
      </c>
      <c r="F13">
        <f t="shared" si="2"/>
        <v>4.9</v>
      </c>
      <c r="G13">
        <f t="shared" si="2"/>
        <v>5</v>
      </c>
      <c r="H13">
        <f t="shared" si="2"/>
        <v>5</v>
      </c>
      <c r="I13">
        <f t="shared" si="2"/>
        <v>5</v>
      </c>
      <c r="J13">
        <f t="shared" si="2"/>
        <v>5</v>
      </c>
      <c r="K13">
        <f t="shared" si="2"/>
        <v>34.9</v>
      </c>
      <c r="L13">
        <f t="shared" si="2"/>
        <v>5</v>
      </c>
      <c r="M13">
        <f t="shared" si="2"/>
        <v>4.8</v>
      </c>
      <c r="N13">
        <f t="shared" si="2"/>
        <v>2.9</v>
      </c>
      <c r="O13">
        <f t="shared" si="2"/>
        <v>4.3</v>
      </c>
      <c r="P13">
        <f t="shared" si="2"/>
        <v>1.5</v>
      </c>
      <c r="Q13">
        <f t="shared" si="2"/>
        <v>4</v>
      </c>
      <c r="R13">
        <f t="shared" si="2"/>
        <v>4</v>
      </c>
      <c r="S13">
        <f t="shared" si="2"/>
        <v>3.6</v>
      </c>
      <c r="T13">
        <f t="shared" si="2"/>
        <v>5</v>
      </c>
      <c r="U13">
        <f t="shared" si="2"/>
        <v>5</v>
      </c>
      <c r="V13">
        <f t="shared" si="2"/>
        <v>5</v>
      </c>
      <c r="W13">
        <f t="shared" si="2"/>
        <v>3.8</v>
      </c>
      <c r="X13">
        <f t="shared" si="2"/>
        <v>1.2</v>
      </c>
      <c r="Y13">
        <f t="shared" si="2"/>
        <v>3.5</v>
      </c>
      <c r="Z13">
        <f t="shared" si="2"/>
        <v>3</v>
      </c>
      <c r="AA13">
        <f t="shared" si="2"/>
        <v>3.5</v>
      </c>
      <c r="AB13">
        <f t="shared" si="2"/>
        <v>60.1</v>
      </c>
    </row>
    <row r="15" ht="175.5" spans="1:29">
      <c r="A15" s="15" t="s">
        <v>44</v>
      </c>
      <c r="B15" s="10" t="s">
        <v>207</v>
      </c>
      <c r="C15" s="11" t="s">
        <v>208</v>
      </c>
      <c r="D15" s="12">
        <v>5</v>
      </c>
      <c r="E15" s="12">
        <v>5</v>
      </c>
      <c r="F15" s="12">
        <v>5</v>
      </c>
      <c r="G15" s="12">
        <v>5</v>
      </c>
      <c r="H15" s="12">
        <v>5</v>
      </c>
      <c r="I15" s="12">
        <v>5</v>
      </c>
      <c r="J15" s="12">
        <v>5</v>
      </c>
      <c r="K15" s="13">
        <f t="shared" ref="K15:K39" si="3">SUM(D15:J15)</f>
        <v>35</v>
      </c>
      <c r="L15" s="12">
        <v>5</v>
      </c>
      <c r="M15" s="12">
        <v>5</v>
      </c>
      <c r="N15" s="12">
        <v>3</v>
      </c>
      <c r="O15" s="12">
        <v>5</v>
      </c>
      <c r="P15" s="12">
        <v>2</v>
      </c>
      <c r="Q15" s="12">
        <v>4</v>
      </c>
      <c r="R15" s="12">
        <v>4</v>
      </c>
      <c r="S15" s="12">
        <v>5</v>
      </c>
      <c r="T15" s="12">
        <v>5</v>
      </c>
      <c r="U15" s="12">
        <v>5</v>
      </c>
      <c r="V15" s="12">
        <v>5</v>
      </c>
      <c r="W15" s="12">
        <v>4</v>
      </c>
      <c r="X15" s="12">
        <v>3</v>
      </c>
      <c r="Y15" s="12">
        <v>4</v>
      </c>
      <c r="Z15" s="12">
        <v>3</v>
      </c>
      <c r="AA15" s="12">
        <v>4</v>
      </c>
      <c r="AB15" s="13">
        <f t="shared" ref="AB15:AB39" si="4">SUM(L15:AA15)</f>
        <v>66</v>
      </c>
      <c r="AC15" s="14"/>
    </row>
    <row r="16" ht="202.5" spans="1:29">
      <c r="A16" s="15"/>
      <c r="B16" s="10" t="s">
        <v>209</v>
      </c>
      <c r="C16" s="11" t="s">
        <v>210</v>
      </c>
      <c r="D16" s="12">
        <v>5</v>
      </c>
      <c r="E16" s="12">
        <v>5</v>
      </c>
      <c r="F16" s="12">
        <v>5</v>
      </c>
      <c r="G16" s="12">
        <v>5</v>
      </c>
      <c r="H16" s="12">
        <v>5</v>
      </c>
      <c r="I16" s="12">
        <v>5</v>
      </c>
      <c r="J16" s="12">
        <v>5</v>
      </c>
      <c r="K16" s="13">
        <f t="shared" si="3"/>
        <v>35</v>
      </c>
      <c r="L16" s="12">
        <v>5</v>
      </c>
      <c r="M16" s="12">
        <v>5</v>
      </c>
      <c r="N16" s="12">
        <v>3</v>
      </c>
      <c r="O16" s="12">
        <v>5</v>
      </c>
      <c r="P16" s="12">
        <v>3</v>
      </c>
      <c r="Q16" s="12">
        <v>4</v>
      </c>
      <c r="R16" s="12">
        <v>5</v>
      </c>
      <c r="S16" s="12">
        <v>5</v>
      </c>
      <c r="T16" s="12">
        <v>5</v>
      </c>
      <c r="U16" s="12">
        <v>5</v>
      </c>
      <c r="V16" s="12">
        <v>5</v>
      </c>
      <c r="W16" s="12">
        <v>5</v>
      </c>
      <c r="X16" s="12">
        <v>3</v>
      </c>
      <c r="Y16" s="12">
        <v>4</v>
      </c>
      <c r="Z16" s="12">
        <v>3</v>
      </c>
      <c r="AA16" s="12">
        <v>4</v>
      </c>
      <c r="AB16" s="13">
        <f t="shared" si="4"/>
        <v>69</v>
      </c>
      <c r="AC16" s="14"/>
    </row>
    <row r="17" ht="162" spans="1:29">
      <c r="A17" s="15"/>
      <c r="B17" s="10" t="s">
        <v>211</v>
      </c>
      <c r="C17" s="11" t="s">
        <v>212</v>
      </c>
      <c r="D17" s="12">
        <v>5</v>
      </c>
      <c r="E17" s="12">
        <v>5</v>
      </c>
      <c r="F17" s="12">
        <v>5</v>
      </c>
      <c r="G17" s="12">
        <v>5</v>
      </c>
      <c r="H17" s="12">
        <v>5</v>
      </c>
      <c r="I17" s="12">
        <v>5</v>
      </c>
      <c r="J17" s="12">
        <v>5</v>
      </c>
      <c r="K17" s="13">
        <f t="shared" si="3"/>
        <v>35</v>
      </c>
      <c r="L17" s="12">
        <v>5</v>
      </c>
      <c r="M17" s="12">
        <v>5</v>
      </c>
      <c r="N17" s="12">
        <v>3</v>
      </c>
      <c r="O17" s="12">
        <v>5</v>
      </c>
      <c r="P17" s="12">
        <v>4</v>
      </c>
      <c r="Q17" s="12">
        <v>3</v>
      </c>
      <c r="R17" s="12">
        <v>5</v>
      </c>
      <c r="S17" s="12">
        <v>5</v>
      </c>
      <c r="T17" s="12">
        <v>5</v>
      </c>
      <c r="U17" s="12">
        <v>5</v>
      </c>
      <c r="V17" s="12">
        <v>5</v>
      </c>
      <c r="W17" s="12">
        <v>5</v>
      </c>
      <c r="X17" s="12">
        <v>3</v>
      </c>
      <c r="Y17" s="12">
        <v>4</v>
      </c>
      <c r="Z17" s="12">
        <v>3</v>
      </c>
      <c r="AA17" s="12">
        <v>4</v>
      </c>
      <c r="AB17" s="13">
        <f t="shared" si="4"/>
        <v>69</v>
      </c>
      <c r="AC17" s="14"/>
    </row>
    <row r="18" ht="189" spans="1:29">
      <c r="A18" s="15"/>
      <c r="B18" s="10" t="s">
        <v>213</v>
      </c>
      <c r="C18" s="11" t="s">
        <v>214</v>
      </c>
      <c r="D18" s="12">
        <v>5</v>
      </c>
      <c r="E18" s="12">
        <v>5</v>
      </c>
      <c r="F18" s="12">
        <v>5</v>
      </c>
      <c r="G18" s="12">
        <v>5</v>
      </c>
      <c r="H18" s="12">
        <v>5</v>
      </c>
      <c r="I18" s="12">
        <v>5</v>
      </c>
      <c r="J18" s="12">
        <v>5</v>
      </c>
      <c r="K18" s="13">
        <f t="shared" si="3"/>
        <v>35</v>
      </c>
      <c r="L18" s="12">
        <v>5</v>
      </c>
      <c r="M18" s="12">
        <v>5</v>
      </c>
      <c r="N18" s="12">
        <v>3</v>
      </c>
      <c r="O18" s="12">
        <v>5</v>
      </c>
      <c r="P18" s="12">
        <v>3</v>
      </c>
      <c r="Q18" s="12">
        <v>4</v>
      </c>
      <c r="R18" s="12">
        <v>5</v>
      </c>
      <c r="S18" s="12">
        <v>5</v>
      </c>
      <c r="T18" s="12">
        <v>5</v>
      </c>
      <c r="U18" s="12">
        <v>5</v>
      </c>
      <c r="V18" s="12">
        <v>5</v>
      </c>
      <c r="W18" s="12">
        <v>5</v>
      </c>
      <c r="X18" s="12">
        <v>3</v>
      </c>
      <c r="Y18" s="12">
        <v>4</v>
      </c>
      <c r="Z18" s="12">
        <v>3</v>
      </c>
      <c r="AA18" s="12">
        <v>4</v>
      </c>
      <c r="AB18" s="13">
        <f t="shared" si="4"/>
        <v>69</v>
      </c>
      <c r="AC18" s="14"/>
    </row>
    <row r="19" ht="162" spans="1:29">
      <c r="A19" s="15"/>
      <c r="B19" s="10" t="s">
        <v>215</v>
      </c>
      <c r="C19" s="11" t="s">
        <v>216</v>
      </c>
      <c r="D19" s="12">
        <v>5</v>
      </c>
      <c r="E19" s="12">
        <v>5</v>
      </c>
      <c r="F19" s="12">
        <v>5</v>
      </c>
      <c r="G19" s="12">
        <v>5</v>
      </c>
      <c r="H19" s="12">
        <v>5</v>
      </c>
      <c r="I19" s="12">
        <v>5</v>
      </c>
      <c r="J19" s="12">
        <v>5</v>
      </c>
      <c r="K19" s="13">
        <f t="shared" si="3"/>
        <v>35</v>
      </c>
      <c r="L19" s="12">
        <v>5</v>
      </c>
      <c r="M19" s="12">
        <v>5</v>
      </c>
      <c r="N19" s="12">
        <v>3</v>
      </c>
      <c r="O19" s="12">
        <v>5</v>
      </c>
      <c r="P19" s="12">
        <v>4</v>
      </c>
      <c r="Q19" s="12">
        <v>4</v>
      </c>
      <c r="R19" s="12">
        <v>5</v>
      </c>
      <c r="S19" s="12">
        <v>5</v>
      </c>
      <c r="T19" s="12">
        <v>5</v>
      </c>
      <c r="U19" s="12">
        <v>5</v>
      </c>
      <c r="V19" s="12">
        <v>5</v>
      </c>
      <c r="W19" s="12">
        <v>5</v>
      </c>
      <c r="X19" s="12">
        <v>3</v>
      </c>
      <c r="Y19" s="12">
        <v>4</v>
      </c>
      <c r="Z19" s="12">
        <v>3</v>
      </c>
      <c r="AA19" s="12">
        <v>4</v>
      </c>
      <c r="AB19" s="13">
        <f t="shared" si="4"/>
        <v>70</v>
      </c>
      <c r="AC19" s="14"/>
    </row>
    <row r="20" ht="202.5" spans="1:29">
      <c r="A20" s="15"/>
      <c r="B20" s="10" t="s">
        <v>217</v>
      </c>
      <c r="C20" s="11" t="s">
        <v>218</v>
      </c>
      <c r="D20" s="12">
        <v>5</v>
      </c>
      <c r="E20" s="12">
        <v>5</v>
      </c>
      <c r="F20" s="12">
        <v>3</v>
      </c>
      <c r="G20" s="12">
        <v>5</v>
      </c>
      <c r="H20" s="12">
        <v>5</v>
      </c>
      <c r="I20" s="12">
        <v>5</v>
      </c>
      <c r="J20" s="12">
        <v>5</v>
      </c>
      <c r="K20" s="13">
        <f t="shared" si="3"/>
        <v>33</v>
      </c>
      <c r="L20" s="12">
        <v>5</v>
      </c>
      <c r="M20" s="12">
        <v>5</v>
      </c>
      <c r="N20" s="12">
        <v>2</v>
      </c>
      <c r="O20" s="12">
        <v>5</v>
      </c>
      <c r="P20" s="12">
        <v>5</v>
      </c>
      <c r="Q20" s="12">
        <v>5</v>
      </c>
      <c r="R20" s="12">
        <v>4</v>
      </c>
      <c r="S20" s="12">
        <v>5</v>
      </c>
      <c r="T20" s="12">
        <v>5</v>
      </c>
      <c r="U20" s="12">
        <v>5</v>
      </c>
      <c r="V20" s="12">
        <v>4</v>
      </c>
      <c r="W20" s="12">
        <v>4</v>
      </c>
      <c r="X20" s="12">
        <v>4</v>
      </c>
      <c r="Y20" s="12">
        <v>4</v>
      </c>
      <c r="Z20" s="12">
        <v>3</v>
      </c>
      <c r="AA20" s="12">
        <v>4</v>
      </c>
      <c r="AB20" s="13">
        <f t="shared" si="4"/>
        <v>69</v>
      </c>
      <c r="AC20" s="14"/>
    </row>
    <row r="21" ht="175.5" spans="1:29">
      <c r="A21" s="15"/>
      <c r="B21" s="10" t="s">
        <v>219</v>
      </c>
      <c r="C21" s="11" t="s">
        <v>220</v>
      </c>
      <c r="D21" s="12">
        <v>5</v>
      </c>
      <c r="E21" s="12">
        <v>5</v>
      </c>
      <c r="F21" s="12">
        <v>5</v>
      </c>
      <c r="G21" s="12">
        <v>5</v>
      </c>
      <c r="H21" s="12">
        <v>5</v>
      </c>
      <c r="I21" s="12">
        <v>5</v>
      </c>
      <c r="J21" s="12">
        <v>5</v>
      </c>
      <c r="K21" s="13">
        <f t="shared" si="3"/>
        <v>35</v>
      </c>
      <c r="L21" s="12">
        <v>5</v>
      </c>
      <c r="M21" s="12">
        <v>5</v>
      </c>
      <c r="N21" s="12">
        <v>3</v>
      </c>
      <c r="O21" s="12">
        <v>5</v>
      </c>
      <c r="P21" s="12">
        <v>4</v>
      </c>
      <c r="Q21" s="12">
        <v>4</v>
      </c>
      <c r="R21" s="12">
        <v>4</v>
      </c>
      <c r="S21" s="12">
        <v>5</v>
      </c>
      <c r="T21" s="12">
        <v>5</v>
      </c>
      <c r="U21" s="12">
        <v>5</v>
      </c>
      <c r="V21" s="12">
        <v>5</v>
      </c>
      <c r="W21" s="12">
        <v>4</v>
      </c>
      <c r="X21" s="12">
        <v>4</v>
      </c>
      <c r="Y21" s="12">
        <v>4</v>
      </c>
      <c r="Z21" s="12">
        <v>3</v>
      </c>
      <c r="AA21" s="12">
        <v>4</v>
      </c>
      <c r="AB21" s="13">
        <f t="shared" si="4"/>
        <v>69</v>
      </c>
      <c r="AC21" s="14"/>
    </row>
    <row r="22" ht="162" spans="1:29">
      <c r="A22" s="15"/>
      <c r="B22" s="10" t="s">
        <v>221</v>
      </c>
      <c r="C22" s="11" t="s">
        <v>222</v>
      </c>
      <c r="D22" s="12">
        <v>5</v>
      </c>
      <c r="E22" s="12">
        <v>5</v>
      </c>
      <c r="F22" s="12">
        <v>4</v>
      </c>
      <c r="G22" s="12">
        <v>5</v>
      </c>
      <c r="H22" s="12">
        <v>5</v>
      </c>
      <c r="I22" s="12">
        <v>5</v>
      </c>
      <c r="J22" s="12">
        <v>5</v>
      </c>
      <c r="K22" s="13">
        <f t="shared" si="3"/>
        <v>34</v>
      </c>
      <c r="L22" s="12">
        <v>5</v>
      </c>
      <c r="M22" s="12">
        <v>5</v>
      </c>
      <c r="N22" s="12">
        <v>3</v>
      </c>
      <c r="O22" s="12">
        <v>5</v>
      </c>
      <c r="P22" s="12">
        <v>3</v>
      </c>
      <c r="Q22" s="12">
        <v>4</v>
      </c>
      <c r="R22" s="12">
        <v>4</v>
      </c>
      <c r="S22" s="12">
        <v>5</v>
      </c>
      <c r="T22" s="12">
        <v>5</v>
      </c>
      <c r="U22" s="12">
        <v>5</v>
      </c>
      <c r="V22" s="12">
        <v>5</v>
      </c>
      <c r="W22" s="12">
        <v>5</v>
      </c>
      <c r="X22" s="12">
        <v>3</v>
      </c>
      <c r="Y22" s="12">
        <v>4</v>
      </c>
      <c r="Z22" s="12">
        <v>3</v>
      </c>
      <c r="AA22" s="12">
        <v>4</v>
      </c>
      <c r="AB22" s="13">
        <f t="shared" si="4"/>
        <v>68</v>
      </c>
      <c r="AC22" s="14"/>
    </row>
    <row r="23" ht="189" spans="1:29">
      <c r="A23" s="15"/>
      <c r="B23" s="10" t="s">
        <v>223</v>
      </c>
      <c r="C23" s="11" t="s">
        <v>224</v>
      </c>
      <c r="D23" s="12">
        <v>5</v>
      </c>
      <c r="E23" s="12">
        <v>5</v>
      </c>
      <c r="F23" s="12">
        <v>5</v>
      </c>
      <c r="G23" s="12">
        <v>5</v>
      </c>
      <c r="H23" s="12">
        <v>5</v>
      </c>
      <c r="I23" s="12">
        <v>5</v>
      </c>
      <c r="J23" s="12">
        <v>5</v>
      </c>
      <c r="K23" s="13">
        <f t="shared" si="3"/>
        <v>35</v>
      </c>
      <c r="L23" s="12">
        <v>5</v>
      </c>
      <c r="M23" s="12">
        <v>5</v>
      </c>
      <c r="N23" s="12">
        <v>2</v>
      </c>
      <c r="O23" s="12">
        <v>5</v>
      </c>
      <c r="P23" s="12">
        <v>3</v>
      </c>
      <c r="Q23" s="12">
        <v>4</v>
      </c>
      <c r="R23" s="12">
        <v>5</v>
      </c>
      <c r="S23" s="12">
        <v>5</v>
      </c>
      <c r="T23" s="12">
        <v>5</v>
      </c>
      <c r="U23" s="12">
        <v>5</v>
      </c>
      <c r="V23" s="12">
        <v>5</v>
      </c>
      <c r="W23" s="12">
        <v>5</v>
      </c>
      <c r="X23" s="12">
        <v>3</v>
      </c>
      <c r="Y23" s="12">
        <v>4</v>
      </c>
      <c r="Z23" s="12">
        <v>3</v>
      </c>
      <c r="AA23" s="12">
        <v>4</v>
      </c>
      <c r="AB23" s="13">
        <f t="shared" si="4"/>
        <v>68</v>
      </c>
      <c r="AC23" s="14"/>
    </row>
    <row r="24" ht="243" spans="1:29">
      <c r="A24" s="15"/>
      <c r="B24" s="10" t="s">
        <v>225</v>
      </c>
      <c r="C24" s="11" t="s">
        <v>226</v>
      </c>
      <c r="D24" s="12">
        <v>5</v>
      </c>
      <c r="E24" s="12">
        <v>5</v>
      </c>
      <c r="F24" s="12">
        <v>4</v>
      </c>
      <c r="G24" s="12">
        <v>5</v>
      </c>
      <c r="H24" s="12">
        <v>5</v>
      </c>
      <c r="I24" s="12">
        <v>5</v>
      </c>
      <c r="J24" s="12">
        <v>5</v>
      </c>
      <c r="K24" s="13">
        <f t="shared" si="3"/>
        <v>34</v>
      </c>
      <c r="L24" s="12">
        <v>5</v>
      </c>
      <c r="M24" s="12">
        <v>5</v>
      </c>
      <c r="N24" s="12">
        <v>3</v>
      </c>
      <c r="O24" s="12">
        <v>5</v>
      </c>
      <c r="P24" s="12">
        <v>4</v>
      </c>
      <c r="Q24" s="12">
        <v>4</v>
      </c>
      <c r="R24" s="12">
        <v>4</v>
      </c>
      <c r="S24" s="12">
        <v>5</v>
      </c>
      <c r="T24" s="12">
        <v>5</v>
      </c>
      <c r="U24" s="12">
        <v>5</v>
      </c>
      <c r="V24" s="12">
        <v>5</v>
      </c>
      <c r="W24" s="12">
        <v>4</v>
      </c>
      <c r="X24" s="12">
        <v>3</v>
      </c>
      <c r="Y24" s="12">
        <v>4</v>
      </c>
      <c r="Z24" s="12">
        <v>3</v>
      </c>
      <c r="AA24" s="12">
        <v>4</v>
      </c>
      <c r="AB24" s="13">
        <f t="shared" si="4"/>
        <v>68</v>
      </c>
      <c r="AC24" s="14"/>
    </row>
    <row r="25" ht="148.5" spans="1:29">
      <c r="A25" s="15"/>
      <c r="B25" s="10" t="s">
        <v>227</v>
      </c>
      <c r="C25" s="11" t="s">
        <v>228</v>
      </c>
      <c r="D25" s="12">
        <v>5</v>
      </c>
      <c r="E25" s="12">
        <v>5</v>
      </c>
      <c r="F25" s="12">
        <v>4</v>
      </c>
      <c r="G25" s="12">
        <v>5</v>
      </c>
      <c r="H25" s="12">
        <v>5</v>
      </c>
      <c r="I25" s="12">
        <v>5</v>
      </c>
      <c r="J25" s="12">
        <v>5</v>
      </c>
      <c r="K25" s="13">
        <f t="shared" si="3"/>
        <v>34</v>
      </c>
      <c r="L25" s="12">
        <v>5</v>
      </c>
      <c r="M25" s="12">
        <v>4</v>
      </c>
      <c r="N25" s="12">
        <v>3</v>
      </c>
      <c r="O25" s="12">
        <v>4</v>
      </c>
      <c r="P25" s="12">
        <v>1</v>
      </c>
      <c r="Q25" s="12">
        <v>4</v>
      </c>
      <c r="R25" s="12">
        <v>4</v>
      </c>
      <c r="S25" s="12">
        <v>5</v>
      </c>
      <c r="T25" s="12">
        <v>5</v>
      </c>
      <c r="U25" s="12">
        <v>5</v>
      </c>
      <c r="V25" s="12">
        <v>5</v>
      </c>
      <c r="W25" s="12">
        <v>4</v>
      </c>
      <c r="X25" s="12">
        <v>2</v>
      </c>
      <c r="Y25" s="12">
        <v>4</v>
      </c>
      <c r="Z25" s="12">
        <v>3</v>
      </c>
      <c r="AA25" s="12">
        <v>4</v>
      </c>
      <c r="AB25" s="13">
        <f t="shared" si="4"/>
        <v>62</v>
      </c>
      <c r="AC25" s="14"/>
    </row>
    <row r="26" ht="148.5" spans="1:29">
      <c r="A26" s="15"/>
      <c r="B26" s="10" t="s">
        <v>229</v>
      </c>
      <c r="C26" s="11" t="s">
        <v>230</v>
      </c>
      <c r="D26" s="12">
        <v>5</v>
      </c>
      <c r="E26" s="12">
        <v>5</v>
      </c>
      <c r="F26" s="12">
        <v>4</v>
      </c>
      <c r="G26" s="12">
        <v>5</v>
      </c>
      <c r="H26" s="12">
        <v>5</v>
      </c>
      <c r="I26" s="12">
        <v>5</v>
      </c>
      <c r="J26" s="12">
        <v>5</v>
      </c>
      <c r="K26" s="13">
        <f t="shared" si="3"/>
        <v>34</v>
      </c>
      <c r="L26" s="12">
        <v>5</v>
      </c>
      <c r="M26" s="12">
        <v>4</v>
      </c>
      <c r="N26" s="12">
        <v>3</v>
      </c>
      <c r="O26" s="12">
        <v>4</v>
      </c>
      <c r="P26" s="12">
        <v>2</v>
      </c>
      <c r="Q26" s="12">
        <v>4</v>
      </c>
      <c r="R26" s="12">
        <v>4</v>
      </c>
      <c r="S26" s="12">
        <v>5</v>
      </c>
      <c r="T26" s="12">
        <v>5</v>
      </c>
      <c r="U26" s="12">
        <v>5</v>
      </c>
      <c r="V26" s="12">
        <v>5</v>
      </c>
      <c r="W26" s="12">
        <v>4</v>
      </c>
      <c r="X26" s="12">
        <v>2</v>
      </c>
      <c r="Y26" s="12">
        <v>4</v>
      </c>
      <c r="Z26" s="12">
        <v>3</v>
      </c>
      <c r="AA26" s="12">
        <v>4</v>
      </c>
      <c r="AB26" s="13">
        <f t="shared" si="4"/>
        <v>63</v>
      </c>
      <c r="AC26" s="14"/>
    </row>
    <row r="27" ht="208" customHeight="1" spans="1:29">
      <c r="A27" s="15"/>
      <c r="B27" s="10" t="s">
        <v>231</v>
      </c>
      <c r="C27" s="11" t="s">
        <v>232</v>
      </c>
      <c r="D27" s="12">
        <v>5</v>
      </c>
      <c r="E27" s="12">
        <v>5</v>
      </c>
      <c r="F27" s="12">
        <v>5</v>
      </c>
      <c r="G27" s="12">
        <v>5</v>
      </c>
      <c r="H27" s="12">
        <v>5</v>
      </c>
      <c r="I27" s="12">
        <v>5</v>
      </c>
      <c r="J27" s="12">
        <v>5</v>
      </c>
      <c r="K27" s="13">
        <f t="shared" si="3"/>
        <v>35</v>
      </c>
      <c r="L27" s="12">
        <v>5</v>
      </c>
      <c r="M27" s="12">
        <v>5</v>
      </c>
      <c r="N27" s="12">
        <v>3</v>
      </c>
      <c r="O27" s="12">
        <v>5</v>
      </c>
      <c r="P27" s="12">
        <v>4</v>
      </c>
      <c r="Q27" s="12">
        <v>4</v>
      </c>
      <c r="R27" s="12">
        <v>4</v>
      </c>
      <c r="S27" s="12">
        <v>5</v>
      </c>
      <c r="T27" s="12">
        <v>5</v>
      </c>
      <c r="U27" s="12">
        <v>5</v>
      </c>
      <c r="V27" s="12">
        <v>5</v>
      </c>
      <c r="W27" s="12">
        <v>3</v>
      </c>
      <c r="X27" s="12">
        <v>3</v>
      </c>
      <c r="Y27" s="12">
        <v>4</v>
      </c>
      <c r="Z27" s="12">
        <v>3</v>
      </c>
      <c r="AA27" s="12">
        <v>4</v>
      </c>
      <c r="AB27" s="13">
        <f t="shared" si="4"/>
        <v>67</v>
      </c>
      <c r="AC27" s="14"/>
    </row>
    <row r="28" ht="148.5" spans="1:29">
      <c r="A28" s="15"/>
      <c r="B28" s="10" t="s">
        <v>233</v>
      </c>
      <c r="C28" s="11" t="s">
        <v>234</v>
      </c>
      <c r="D28" s="12">
        <v>5</v>
      </c>
      <c r="E28" s="12">
        <v>5</v>
      </c>
      <c r="F28" s="12">
        <v>5</v>
      </c>
      <c r="G28" s="12">
        <v>5</v>
      </c>
      <c r="H28" s="12">
        <v>5</v>
      </c>
      <c r="I28" s="12">
        <v>5</v>
      </c>
      <c r="J28" s="12">
        <v>5</v>
      </c>
      <c r="K28" s="13">
        <f t="shared" si="3"/>
        <v>35</v>
      </c>
      <c r="L28" s="12">
        <v>5</v>
      </c>
      <c r="M28" s="12">
        <v>4</v>
      </c>
      <c r="N28" s="12">
        <v>3</v>
      </c>
      <c r="O28" s="12">
        <v>4</v>
      </c>
      <c r="P28" s="12">
        <v>2</v>
      </c>
      <c r="Q28" s="12">
        <v>3</v>
      </c>
      <c r="R28" s="12">
        <v>4</v>
      </c>
      <c r="S28" s="12">
        <v>5</v>
      </c>
      <c r="T28" s="12">
        <v>5</v>
      </c>
      <c r="U28" s="12">
        <v>4</v>
      </c>
      <c r="V28" s="12">
        <v>5</v>
      </c>
      <c r="W28" s="12">
        <v>3</v>
      </c>
      <c r="X28" s="12">
        <v>2</v>
      </c>
      <c r="Y28" s="12">
        <v>4</v>
      </c>
      <c r="Z28" s="12">
        <v>3</v>
      </c>
      <c r="AA28" s="12">
        <v>4</v>
      </c>
      <c r="AB28" s="13">
        <f t="shared" si="4"/>
        <v>60</v>
      </c>
      <c r="AC28" s="14"/>
    </row>
    <row r="29" ht="135" spans="1:29">
      <c r="A29" s="15"/>
      <c r="B29" s="10" t="s">
        <v>235</v>
      </c>
      <c r="C29" s="11" t="s">
        <v>236</v>
      </c>
      <c r="D29" s="12">
        <v>5</v>
      </c>
      <c r="E29" s="12">
        <v>5</v>
      </c>
      <c r="F29" s="12">
        <v>5</v>
      </c>
      <c r="G29" s="12">
        <v>5</v>
      </c>
      <c r="H29" s="12">
        <v>5</v>
      </c>
      <c r="I29" s="12">
        <v>5</v>
      </c>
      <c r="J29" s="12">
        <v>5</v>
      </c>
      <c r="K29" s="13">
        <f t="shared" si="3"/>
        <v>35</v>
      </c>
      <c r="L29" s="12">
        <v>5</v>
      </c>
      <c r="M29" s="12">
        <v>4</v>
      </c>
      <c r="N29" s="12">
        <v>3</v>
      </c>
      <c r="O29" s="12">
        <v>4</v>
      </c>
      <c r="P29" s="12">
        <v>1</v>
      </c>
      <c r="Q29" s="12">
        <v>4</v>
      </c>
      <c r="R29" s="12">
        <v>4</v>
      </c>
      <c r="S29" s="12">
        <v>5</v>
      </c>
      <c r="T29" s="12">
        <v>5</v>
      </c>
      <c r="U29" s="12">
        <v>5</v>
      </c>
      <c r="V29" s="12">
        <v>5</v>
      </c>
      <c r="W29" s="12">
        <v>4</v>
      </c>
      <c r="X29" s="12">
        <v>2</v>
      </c>
      <c r="Y29" s="12">
        <v>4</v>
      </c>
      <c r="Z29" s="12">
        <v>3</v>
      </c>
      <c r="AA29" s="12">
        <v>4</v>
      </c>
      <c r="AB29" s="13">
        <f t="shared" si="4"/>
        <v>62</v>
      </c>
      <c r="AC29" s="14"/>
    </row>
    <row r="30" ht="162.4" spans="1:29">
      <c r="A30" s="15"/>
      <c r="B30" s="10" t="s">
        <v>237</v>
      </c>
      <c r="C30" s="11" t="s">
        <v>238</v>
      </c>
      <c r="D30" s="12">
        <v>5</v>
      </c>
      <c r="E30" s="12">
        <v>5</v>
      </c>
      <c r="F30" s="12">
        <v>5</v>
      </c>
      <c r="G30" s="12">
        <v>5</v>
      </c>
      <c r="H30" s="12">
        <v>5</v>
      </c>
      <c r="I30" s="12">
        <v>5</v>
      </c>
      <c r="J30" s="12">
        <v>5</v>
      </c>
      <c r="K30" s="13">
        <f t="shared" si="3"/>
        <v>35</v>
      </c>
      <c r="L30" s="12">
        <v>5</v>
      </c>
      <c r="M30" s="12">
        <v>5</v>
      </c>
      <c r="N30" s="12">
        <v>3</v>
      </c>
      <c r="O30" s="12">
        <v>5</v>
      </c>
      <c r="P30" s="12">
        <v>3</v>
      </c>
      <c r="Q30" s="12">
        <v>4</v>
      </c>
      <c r="R30" s="12">
        <v>4</v>
      </c>
      <c r="S30" s="12">
        <v>5</v>
      </c>
      <c r="T30" s="12">
        <v>5</v>
      </c>
      <c r="U30" s="12">
        <v>5</v>
      </c>
      <c r="V30" s="12">
        <v>5</v>
      </c>
      <c r="W30" s="12">
        <v>3</v>
      </c>
      <c r="X30" s="12">
        <v>3</v>
      </c>
      <c r="Y30" s="12">
        <v>3</v>
      </c>
      <c r="Z30" s="12">
        <v>3</v>
      </c>
      <c r="AA30" s="12">
        <v>3</v>
      </c>
      <c r="AB30" s="13">
        <f t="shared" si="4"/>
        <v>64</v>
      </c>
      <c r="AC30" s="14"/>
    </row>
    <row r="31" ht="216" spans="1:29">
      <c r="A31" s="15"/>
      <c r="B31" s="10" t="s">
        <v>239</v>
      </c>
      <c r="C31" s="11" t="s">
        <v>240</v>
      </c>
      <c r="D31" s="12">
        <v>5</v>
      </c>
      <c r="E31" s="12">
        <v>5</v>
      </c>
      <c r="F31" s="12">
        <v>5</v>
      </c>
      <c r="G31" s="12">
        <v>5</v>
      </c>
      <c r="H31" s="12">
        <v>5</v>
      </c>
      <c r="I31" s="12">
        <v>5</v>
      </c>
      <c r="J31" s="12">
        <v>5</v>
      </c>
      <c r="K31" s="13">
        <f t="shared" si="3"/>
        <v>35</v>
      </c>
      <c r="L31" s="12">
        <v>5</v>
      </c>
      <c r="M31" s="12">
        <v>5</v>
      </c>
      <c r="N31" s="12">
        <v>3</v>
      </c>
      <c r="O31" s="12">
        <v>5</v>
      </c>
      <c r="P31" s="12">
        <v>4</v>
      </c>
      <c r="Q31" s="12">
        <v>4</v>
      </c>
      <c r="R31" s="12">
        <v>4</v>
      </c>
      <c r="S31" s="12">
        <v>5</v>
      </c>
      <c r="T31" s="12">
        <v>5</v>
      </c>
      <c r="U31" s="12">
        <v>5</v>
      </c>
      <c r="V31" s="12">
        <v>5</v>
      </c>
      <c r="W31" s="12">
        <v>4</v>
      </c>
      <c r="X31" s="12">
        <v>4</v>
      </c>
      <c r="Y31" s="12">
        <v>4</v>
      </c>
      <c r="Z31" s="12">
        <v>3</v>
      </c>
      <c r="AA31" s="12">
        <v>4</v>
      </c>
      <c r="AB31" s="13">
        <f t="shared" si="4"/>
        <v>69</v>
      </c>
      <c r="AC31" s="14"/>
    </row>
    <row r="32" ht="162" spans="1:29">
      <c r="A32" s="15"/>
      <c r="B32" s="10" t="s">
        <v>241</v>
      </c>
      <c r="C32" s="11" t="s">
        <v>242</v>
      </c>
      <c r="D32" s="12">
        <v>5</v>
      </c>
      <c r="E32" s="12">
        <v>5</v>
      </c>
      <c r="F32" s="12">
        <v>5</v>
      </c>
      <c r="G32" s="12">
        <v>5</v>
      </c>
      <c r="H32" s="12">
        <v>5</v>
      </c>
      <c r="I32" s="12">
        <v>5</v>
      </c>
      <c r="J32" s="12">
        <v>5</v>
      </c>
      <c r="K32" s="13">
        <f t="shared" si="3"/>
        <v>35</v>
      </c>
      <c r="L32" s="12">
        <v>5</v>
      </c>
      <c r="M32" s="12">
        <v>4</v>
      </c>
      <c r="N32" s="12">
        <v>3</v>
      </c>
      <c r="O32" s="12">
        <v>4</v>
      </c>
      <c r="P32" s="12">
        <v>1</v>
      </c>
      <c r="Q32" s="12">
        <v>4</v>
      </c>
      <c r="R32" s="12">
        <v>4</v>
      </c>
      <c r="S32" s="12">
        <v>5</v>
      </c>
      <c r="T32" s="12">
        <v>5</v>
      </c>
      <c r="U32" s="12">
        <v>5</v>
      </c>
      <c r="V32" s="12">
        <v>5</v>
      </c>
      <c r="W32" s="12">
        <v>4</v>
      </c>
      <c r="X32" s="12">
        <v>3</v>
      </c>
      <c r="Y32" s="12">
        <v>4</v>
      </c>
      <c r="Z32" s="12">
        <v>3</v>
      </c>
      <c r="AA32" s="12">
        <v>4</v>
      </c>
      <c r="AB32" s="13">
        <f t="shared" si="4"/>
        <v>63</v>
      </c>
      <c r="AC32" s="14"/>
    </row>
    <row r="33" ht="162" spans="1:29">
      <c r="A33" s="15"/>
      <c r="B33" s="10" t="s">
        <v>302</v>
      </c>
      <c r="C33" s="11" t="s">
        <v>303</v>
      </c>
      <c r="D33" s="12">
        <v>5</v>
      </c>
      <c r="E33" s="12">
        <v>5</v>
      </c>
      <c r="F33" s="12">
        <v>5</v>
      </c>
      <c r="G33" s="12">
        <v>5</v>
      </c>
      <c r="H33" s="12">
        <v>5</v>
      </c>
      <c r="I33" s="12">
        <v>5</v>
      </c>
      <c r="J33" s="12">
        <v>5</v>
      </c>
      <c r="K33" s="13">
        <f t="shared" si="3"/>
        <v>35</v>
      </c>
      <c r="L33" s="12">
        <v>5</v>
      </c>
      <c r="M33" s="12">
        <v>4</v>
      </c>
      <c r="N33" s="12">
        <v>3</v>
      </c>
      <c r="O33" s="12">
        <v>4</v>
      </c>
      <c r="P33" s="12">
        <v>1</v>
      </c>
      <c r="Q33" s="12">
        <v>4</v>
      </c>
      <c r="R33" s="12">
        <v>4</v>
      </c>
      <c r="S33" s="12">
        <v>5</v>
      </c>
      <c r="T33" s="12">
        <v>5</v>
      </c>
      <c r="U33" s="12">
        <v>5</v>
      </c>
      <c r="V33" s="12">
        <v>5</v>
      </c>
      <c r="W33" s="12">
        <v>3</v>
      </c>
      <c r="X33" s="12">
        <v>2</v>
      </c>
      <c r="Y33" s="12">
        <v>3</v>
      </c>
      <c r="Z33" s="12">
        <v>3</v>
      </c>
      <c r="AA33" s="12">
        <v>4</v>
      </c>
      <c r="AB33" s="13">
        <f t="shared" si="4"/>
        <v>60</v>
      </c>
      <c r="AC33" s="14"/>
    </row>
    <row r="34" ht="148.5" spans="1:29">
      <c r="A34" s="15"/>
      <c r="B34" s="10" t="s">
        <v>304</v>
      </c>
      <c r="C34" s="11" t="s">
        <v>305</v>
      </c>
      <c r="D34" s="12">
        <v>5</v>
      </c>
      <c r="E34" s="12">
        <v>5</v>
      </c>
      <c r="F34" s="12">
        <v>5</v>
      </c>
      <c r="G34" s="12">
        <v>5</v>
      </c>
      <c r="H34" s="12">
        <v>5</v>
      </c>
      <c r="I34" s="12">
        <v>5</v>
      </c>
      <c r="J34" s="12">
        <v>5</v>
      </c>
      <c r="K34" s="13">
        <f t="shared" si="3"/>
        <v>35</v>
      </c>
      <c r="L34" s="12">
        <v>5</v>
      </c>
      <c r="M34" s="12">
        <v>5</v>
      </c>
      <c r="N34" s="12">
        <v>3</v>
      </c>
      <c r="O34" s="12">
        <v>5</v>
      </c>
      <c r="P34" s="12">
        <v>1</v>
      </c>
      <c r="Q34" s="12">
        <v>4</v>
      </c>
      <c r="R34" s="12">
        <v>4</v>
      </c>
      <c r="S34" s="12">
        <v>5</v>
      </c>
      <c r="T34" s="12">
        <v>5</v>
      </c>
      <c r="U34" s="12">
        <v>5</v>
      </c>
      <c r="V34" s="12">
        <v>5</v>
      </c>
      <c r="W34" s="12">
        <v>3</v>
      </c>
      <c r="X34" s="12">
        <v>1</v>
      </c>
      <c r="Y34" s="12">
        <v>2</v>
      </c>
      <c r="Z34" s="12">
        <v>3</v>
      </c>
      <c r="AA34" s="12">
        <v>3</v>
      </c>
      <c r="AB34" s="13">
        <f t="shared" si="4"/>
        <v>59</v>
      </c>
      <c r="AC34" s="13"/>
    </row>
    <row r="35" ht="135" spans="1:29">
      <c r="A35" s="15"/>
      <c r="B35" s="10" t="s">
        <v>306</v>
      </c>
      <c r="C35" s="11" t="s">
        <v>307</v>
      </c>
      <c r="D35" s="12">
        <v>5</v>
      </c>
      <c r="E35" s="12">
        <v>5</v>
      </c>
      <c r="F35" s="12">
        <v>5</v>
      </c>
      <c r="G35" s="12">
        <v>5</v>
      </c>
      <c r="H35" s="12">
        <v>5</v>
      </c>
      <c r="I35" s="12">
        <v>5</v>
      </c>
      <c r="J35" s="12">
        <v>5</v>
      </c>
      <c r="K35" s="13">
        <f t="shared" si="3"/>
        <v>35</v>
      </c>
      <c r="L35" s="12">
        <v>5</v>
      </c>
      <c r="M35" s="12">
        <v>4</v>
      </c>
      <c r="N35" s="12">
        <v>3</v>
      </c>
      <c r="O35" s="12">
        <v>4</v>
      </c>
      <c r="P35" s="12">
        <v>1</v>
      </c>
      <c r="Q35" s="12">
        <v>4</v>
      </c>
      <c r="R35" s="12">
        <v>4</v>
      </c>
      <c r="S35" s="12">
        <v>5</v>
      </c>
      <c r="T35" s="12">
        <v>5</v>
      </c>
      <c r="U35" s="12">
        <v>5</v>
      </c>
      <c r="V35" s="12">
        <v>5</v>
      </c>
      <c r="W35" s="12">
        <v>3</v>
      </c>
      <c r="X35" s="12">
        <v>2</v>
      </c>
      <c r="Y35" s="12">
        <v>3</v>
      </c>
      <c r="Z35" s="12">
        <v>3</v>
      </c>
      <c r="AA35" s="12">
        <v>4</v>
      </c>
      <c r="AB35" s="13">
        <f t="shared" si="4"/>
        <v>60</v>
      </c>
      <c r="AC35" s="14"/>
    </row>
    <row r="36" ht="135" spans="1:29">
      <c r="A36" s="15"/>
      <c r="B36" s="10" t="s">
        <v>308</v>
      </c>
      <c r="C36" s="11" t="s">
        <v>309</v>
      </c>
      <c r="D36" s="12">
        <v>5</v>
      </c>
      <c r="E36" s="12">
        <v>4</v>
      </c>
      <c r="F36" s="12">
        <v>5</v>
      </c>
      <c r="G36" s="12">
        <v>5</v>
      </c>
      <c r="H36" s="12">
        <v>5</v>
      </c>
      <c r="I36" s="12">
        <v>5</v>
      </c>
      <c r="J36" s="12">
        <v>4</v>
      </c>
      <c r="K36" s="13">
        <f t="shared" si="3"/>
        <v>33</v>
      </c>
      <c r="L36" s="12">
        <v>5</v>
      </c>
      <c r="M36" s="12">
        <v>4</v>
      </c>
      <c r="N36" s="12">
        <v>3</v>
      </c>
      <c r="O36" s="12">
        <v>4</v>
      </c>
      <c r="P36" s="12">
        <v>1</v>
      </c>
      <c r="Q36" s="12">
        <v>4</v>
      </c>
      <c r="R36" s="12">
        <v>4</v>
      </c>
      <c r="S36" s="12">
        <v>5</v>
      </c>
      <c r="T36" s="12">
        <v>5</v>
      </c>
      <c r="U36" s="12">
        <v>5</v>
      </c>
      <c r="V36" s="12">
        <v>5</v>
      </c>
      <c r="W36" s="12">
        <v>4</v>
      </c>
      <c r="X36" s="12">
        <v>2</v>
      </c>
      <c r="Y36" s="12">
        <v>3</v>
      </c>
      <c r="Z36" s="12">
        <v>3</v>
      </c>
      <c r="AA36" s="12">
        <v>4</v>
      </c>
      <c r="AB36" s="13">
        <f t="shared" si="4"/>
        <v>61</v>
      </c>
      <c r="AC36" s="14"/>
    </row>
    <row r="37" ht="202.5" spans="1:29">
      <c r="A37" s="15"/>
      <c r="B37" s="10" t="s">
        <v>310</v>
      </c>
      <c r="C37" s="11" t="s">
        <v>311</v>
      </c>
      <c r="D37" s="12">
        <v>5</v>
      </c>
      <c r="E37" s="12">
        <v>4</v>
      </c>
      <c r="F37" s="12">
        <v>5</v>
      </c>
      <c r="G37" s="12">
        <v>5</v>
      </c>
      <c r="H37" s="12">
        <v>5</v>
      </c>
      <c r="I37" s="12">
        <v>5</v>
      </c>
      <c r="J37" s="12">
        <v>4</v>
      </c>
      <c r="K37" s="13">
        <f t="shared" si="3"/>
        <v>33</v>
      </c>
      <c r="L37" s="12">
        <v>5</v>
      </c>
      <c r="M37" s="12">
        <v>4</v>
      </c>
      <c r="N37" s="12">
        <v>3</v>
      </c>
      <c r="O37" s="12">
        <v>4</v>
      </c>
      <c r="P37" s="12">
        <v>1</v>
      </c>
      <c r="Q37" s="12">
        <v>4</v>
      </c>
      <c r="R37" s="12">
        <v>4</v>
      </c>
      <c r="S37" s="12">
        <v>5</v>
      </c>
      <c r="T37" s="12">
        <v>5</v>
      </c>
      <c r="U37" s="12">
        <v>5</v>
      </c>
      <c r="V37" s="12">
        <v>5</v>
      </c>
      <c r="W37" s="12">
        <v>4</v>
      </c>
      <c r="X37" s="12">
        <v>2</v>
      </c>
      <c r="Y37" s="12">
        <v>4</v>
      </c>
      <c r="Z37" s="12">
        <v>3</v>
      </c>
      <c r="AA37" s="12">
        <v>4</v>
      </c>
      <c r="AB37" s="13">
        <f t="shared" si="4"/>
        <v>62</v>
      </c>
      <c r="AC37" s="14"/>
    </row>
    <row r="38" ht="148.5" spans="1:29">
      <c r="A38" s="15"/>
      <c r="B38" s="10" t="s">
        <v>312</v>
      </c>
      <c r="C38" s="11" t="s">
        <v>313</v>
      </c>
      <c r="D38" s="12">
        <v>5</v>
      </c>
      <c r="E38" s="12">
        <v>5</v>
      </c>
      <c r="F38" s="12">
        <v>5</v>
      </c>
      <c r="G38" s="12">
        <v>5</v>
      </c>
      <c r="H38" s="12">
        <v>5</v>
      </c>
      <c r="I38" s="12">
        <v>5</v>
      </c>
      <c r="J38" s="12">
        <v>5</v>
      </c>
      <c r="K38" s="13">
        <f t="shared" si="3"/>
        <v>35</v>
      </c>
      <c r="L38" s="12">
        <v>5</v>
      </c>
      <c r="M38" s="12">
        <v>4</v>
      </c>
      <c r="N38" s="12">
        <v>3</v>
      </c>
      <c r="O38" s="12">
        <v>4</v>
      </c>
      <c r="P38" s="12">
        <v>1</v>
      </c>
      <c r="Q38" s="12">
        <v>4</v>
      </c>
      <c r="R38" s="12">
        <v>4</v>
      </c>
      <c r="S38" s="12">
        <v>5</v>
      </c>
      <c r="T38" s="12">
        <v>5</v>
      </c>
      <c r="U38" s="12">
        <v>5</v>
      </c>
      <c r="V38" s="12">
        <v>5</v>
      </c>
      <c r="W38" s="12">
        <v>3</v>
      </c>
      <c r="X38" s="12">
        <v>2</v>
      </c>
      <c r="Y38" s="12">
        <v>4</v>
      </c>
      <c r="Z38" s="12">
        <v>3</v>
      </c>
      <c r="AA38" s="12">
        <v>3</v>
      </c>
      <c r="AB38" s="13">
        <f t="shared" si="4"/>
        <v>60</v>
      </c>
      <c r="AC38" s="14"/>
    </row>
    <row r="39" ht="135" spans="1:29">
      <c r="A39" s="15"/>
      <c r="B39" s="10" t="s">
        <v>314</v>
      </c>
      <c r="C39" s="11" t="s">
        <v>315</v>
      </c>
      <c r="D39" s="12">
        <v>5</v>
      </c>
      <c r="E39" s="12">
        <v>4</v>
      </c>
      <c r="F39" s="12">
        <v>5</v>
      </c>
      <c r="G39" s="12">
        <v>5</v>
      </c>
      <c r="H39" s="12">
        <v>5</v>
      </c>
      <c r="I39" s="12">
        <v>5</v>
      </c>
      <c r="J39" s="12">
        <v>4</v>
      </c>
      <c r="K39" s="13">
        <f t="shared" si="3"/>
        <v>33</v>
      </c>
      <c r="L39" s="12">
        <v>5</v>
      </c>
      <c r="M39" s="12">
        <v>4</v>
      </c>
      <c r="N39" s="12">
        <v>3</v>
      </c>
      <c r="O39" s="12">
        <v>4</v>
      </c>
      <c r="P39" s="12">
        <v>1</v>
      </c>
      <c r="Q39" s="12">
        <v>4</v>
      </c>
      <c r="R39" s="12">
        <v>4</v>
      </c>
      <c r="S39" s="12">
        <v>5</v>
      </c>
      <c r="T39" s="12">
        <v>5</v>
      </c>
      <c r="U39" s="12">
        <v>5</v>
      </c>
      <c r="V39" s="12">
        <v>5</v>
      </c>
      <c r="W39" s="12">
        <v>4</v>
      </c>
      <c r="X39" s="12">
        <v>2</v>
      </c>
      <c r="Y39" s="12">
        <v>4</v>
      </c>
      <c r="Z39" s="12">
        <v>3</v>
      </c>
      <c r="AA39" s="12">
        <v>4</v>
      </c>
      <c r="AB39" s="13">
        <f t="shared" si="4"/>
        <v>62</v>
      </c>
      <c r="AC39" s="14"/>
    </row>
    <row r="40" spans="1:29">
      <c r="D40">
        <f>AVERAGE(D15:D39)</f>
        <v>5</v>
      </c>
      <c r="E40">
        <f t="shared" ref="E40:AB40" si="5">AVERAGE(E15:E39)</f>
        <v>4.88</v>
      </c>
      <c r="F40">
        <f t="shared" si="5"/>
        <v>4.76</v>
      </c>
      <c r="G40">
        <f t="shared" si="5"/>
        <v>5</v>
      </c>
      <c r="H40">
        <f t="shared" si="5"/>
        <v>5</v>
      </c>
      <c r="I40">
        <f t="shared" si="5"/>
        <v>5</v>
      </c>
      <c r="J40">
        <f t="shared" si="5"/>
        <v>4.88</v>
      </c>
      <c r="K40">
        <f t="shared" si="5"/>
        <v>34.52</v>
      </c>
      <c r="L40">
        <f t="shared" si="5"/>
        <v>5</v>
      </c>
      <c r="M40">
        <f t="shared" si="5"/>
        <v>4.56</v>
      </c>
      <c r="N40">
        <f t="shared" si="5"/>
        <v>2.92</v>
      </c>
      <c r="O40">
        <f t="shared" si="5"/>
        <v>4.56</v>
      </c>
      <c r="P40">
        <f t="shared" si="5"/>
        <v>2.4</v>
      </c>
      <c r="Q40">
        <f t="shared" si="5"/>
        <v>3.96</v>
      </c>
      <c r="R40">
        <f t="shared" si="5"/>
        <v>4.2</v>
      </c>
      <c r="S40">
        <f t="shared" si="5"/>
        <v>5</v>
      </c>
      <c r="T40">
        <f t="shared" si="5"/>
        <v>5</v>
      </c>
      <c r="U40">
        <f t="shared" si="5"/>
        <v>4.96</v>
      </c>
      <c r="V40">
        <f t="shared" si="5"/>
        <v>4.96</v>
      </c>
      <c r="W40">
        <f t="shared" si="5"/>
        <v>3.96</v>
      </c>
      <c r="X40">
        <f t="shared" si="5"/>
        <v>2.64</v>
      </c>
      <c r="Y40">
        <f t="shared" si="5"/>
        <v>3.76</v>
      </c>
      <c r="Z40">
        <f t="shared" si="5"/>
        <v>3</v>
      </c>
      <c r="AA40">
        <f t="shared" si="5"/>
        <v>3.88</v>
      </c>
      <c r="AB40">
        <f t="shared" si="5"/>
        <v>64.76</v>
      </c>
    </row>
    <row r="42" ht="135" spans="1:29">
      <c r="A42" s="20" t="s">
        <v>163</v>
      </c>
      <c r="B42" s="17" t="s">
        <v>243</v>
      </c>
      <c r="C42" s="11" t="s">
        <v>244</v>
      </c>
      <c r="D42" s="12">
        <v>5</v>
      </c>
      <c r="E42" s="12">
        <v>5</v>
      </c>
      <c r="F42" s="12">
        <v>5</v>
      </c>
      <c r="G42" s="12">
        <v>5</v>
      </c>
      <c r="H42" s="12">
        <v>5</v>
      </c>
      <c r="I42" s="12">
        <v>5</v>
      </c>
      <c r="J42" s="12">
        <v>5</v>
      </c>
      <c r="K42" s="13">
        <f t="shared" ref="K42:K59" si="6">SUM(D42:J42)</f>
        <v>35</v>
      </c>
      <c r="L42" s="12">
        <v>5</v>
      </c>
      <c r="M42" s="12">
        <v>5</v>
      </c>
      <c r="N42" s="12">
        <v>2</v>
      </c>
      <c r="O42" s="12">
        <v>5</v>
      </c>
      <c r="P42" s="12">
        <v>3</v>
      </c>
      <c r="Q42" s="12">
        <v>5</v>
      </c>
      <c r="R42" s="12">
        <v>4</v>
      </c>
      <c r="S42" s="12">
        <v>5</v>
      </c>
      <c r="T42" s="12">
        <v>5</v>
      </c>
      <c r="U42" s="12">
        <v>5</v>
      </c>
      <c r="V42" s="12">
        <v>5</v>
      </c>
      <c r="W42" s="12">
        <v>4</v>
      </c>
      <c r="X42" s="12">
        <v>3</v>
      </c>
      <c r="Y42" s="12">
        <v>4</v>
      </c>
      <c r="Z42" s="12">
        <v>3</v>
      </c>
      <c r="AA42" s="12">
        <v>4</v>
      </c>
      <c r="AB42" s="13">
        <f t="shared" ref="AB42:AB59" si="7">SUM(L42:AA42)</f>
        <v>67</v>
      </c>
      <c r="AC42" s="14"/>
    </row>
    <row r="43" ht="148.5" spans="1:29">
      <c r="A43" s="20"/>
      <c r="B43" s="17" t="s">
        <v>245</v>
      </c>
      <c r="C43" s="11" t="s">
        <v>246</v>
      </c>
      <c r="D43" s="12">
        <v>5</v>
      </c>
      <c r="E43" s="12">
        <v>5</v>
      </c>
      <c r="F43" s="12">
        <v>5</v>
      </c>
      <c r="G43" s="12">
        <v>5</v>
      </c>
      <c r="H43" s="12">
        <v>5</v>
      </c>
      <c r="I43" s="12">
        <v>5</v>
      </c>
      <c r="J43" s="12">
        <v>5</v>
      </c>
      <c r="K43" s="13">
        <f t="shared" si="6"/>
        <v>35</v>
      </c>
      <c r="L43" s="12">
        <v>5</v>
      </c>
      <c r="M43" s="12">
        <v>5</v>
      </c>
      <c r="N43" s="12">
        <v>3</v>
      </c>
      <c r="O43" s="12">
        <v>4</v>
      </c>
      <c r="P43" s="12">
        <v>3</v>
      </c>
      <c r="Q43" s="12">
        <v>5</v>
      </c>
      <c r="R43" s="12">
        <v>4</v>
      </c>
      <c r="S43" s="12">
        <v>5</v>
      </c>
      <c r="T43" s="12">
        <v>5</v>
      </c>
      <c r="U43" s="12">
        <v>5</v>
      </c>
      <c r="V43" s="12">
        <v>5</v>
      </c>
      <c r="W43" s="12">
        <v>4</v>
      </c>
      <c r="X43" s="12">
        <v>3</v>
      </c>
      <c r="Y43" s="12">
        <v>4</v>
      </c>
      <c r="Z43" s="12">
        <v>3</v>
      </c>
      <c r="AA43" s="12">
        <v>4</v>
      </c>
      <c r="AB43" s="13">
        <f t="shared" si="7"/>
        <v>67</v>
      </c>
      <c r="AC43" s="14"/>
    </row>
    <row r="44" ht="175.5" spans="1:29">
      <c r="A44" s="20"/>
      <c r="B44" s="17" t="s">
        <v>247</v>
      </c>
      <c r="C44" s="11" t="s">
        <v>87</v>
      </c>
      <c r="D44" s="12">
        <v>5</v>
      </c>
      <c r="E44" s="12">
        <v>5</v>
      </c>
      <c r="F44" s="12">
        <v>5</v>
      </c>
      <c r="G44" s="12">
        <v>5</v>
      </c>
      <c r="H44" s="12">
        <v>5</v>
      </c>
      <c r="I44" s="12">
        <v>5</v>
      </c>
      <c r="J44" s="12">
        <v>5</v>
      </c>
      <c r="K44" s="13">
        <f t="shared" si="6"/>
        <v>35</v>
      </c>
      <c r="L44" s="12">
        <v>5</v>
      </c>
      <c r="M44" s="12">
        <v>5</v>
      </c>
      <c r="N44" s="12">
        <v>2</v>
      </c>
      <c r="O44" s="12">
        <v>4</v>
      </c>
      <c r="P44" s="12">
        <v>3</v>
      </c>
      <c r="Q44" s="12">
        <v>5</v>
      </c>
      <c r="R44" s="12">
        <v>4</v>
      </c>
      <c r="S44" s="12">
        <v>5</v>
      </c>
      <c r="T44" s="12">
        <v>5</v>
      </c>
      <c r="U44" s="12">
        <v>5</v>
      </c>
      <c r="V44" s="12">
        <v>5</v>
      </c>
      <c r="W44" s="12">
        <v>4</v>
      </c>
      <c r="X44" s="12">
        <v>2</v>
      </c>
      <c r="Y44" s="12">
        <v>4</v>
      </c>
      <c r="Z44" s="12">
        <v>3</v>
      </c>
      <c r="AA44" s="12">
        <v>4</v>
      </c>
      <c r="AB44" s="13">
        <f t="shared" si="7"/>
        <v>65</v>
      </c>
      <c r="AC44" s="14"/>
    </row>
    <row r="45" ht="175.5" spans="1:29">
      <c r="A45" s="20"/>
      <c r="B45" s="17" t="s">
        <v>248</v>
      </c>
      <c r="C45" s="11" t="s">
        <v>249</v>
      </c>
      <c r="D45" s="12">
        <v>5</v>
      </c>
      <c r="E45" s="12">
        <v>5</v>
      </c>
      <c r="F45" s="12">
        <v>4</v>
      </c>
      <c r="G45" s="12">
        <v>5</v>
      </c>
      <c r="H45" s="12">
        <v>5</v>
      </c>
      <c r="I45" s="12">
        <v>5</v>
      </c>
      <c r="J45" s="12">
        <v>4</v>
      </c>
      <c r="K45" s="13">
        <f t="shared" si="6"/>
        <v>33</v>
      </c>
      <c r="L45" s="12">
        <v>5</v>
      </c>
      <c r="M45" s="12">
        <v>5</v>
      </c>
      <c r="N45" s="12">
        <v>2</v>
      </c>
      <c r="O45" s="12">
        <v>5</v>
      </c>
      <c r="P45" s="12">
        <v>3</v>
      </c>
      <c r="Q45" s="12">
        <v>5</v>
      </c>
      <c r="R45" s="12">
        <v>4</v>
      </c>
      <c r="S45" s="12">
        <v>5</v>
      </c>
      <c r="T45" s="12">
        <v>5</v>
      </c>
      <c r="U45" s="12">
        <v>5</v>
      </c>
      <c r="V45" s="12">
        <v>5</v>
      </c>
      <c r="W45" s="12">
        <v>4</v>
      </c>
      <c r="X45" s="12">
        <v>2</v>
      </c>
      <c r="Y45" s="12">
        <v>4</v>
      </c>
      <c r="Z45" s="12">
        <v>3</v>
      </c>
      <c r="AA45" s="12">
        <v>4</v>
      </c>
      <c r="AB45" s="13">
        <f t="shared" si="7"/>
        <v>66</v>
      </c>
      <c r="AC45" s="14"/>
    </row>
    <row r="46" ht="189" spans="1:29">
      <c r="A46" s="20"/>
      <c r="B46" s="17" t="s">
        <v>250</v>
      </c>
      <c r="C46" s="11" t="s">
        <v>251</v>
      </c>
      <c r="D46" s="12">
        <v>5</v>
      </c>
      <c r="E46" s="12">
        <v>5</v>
      </c>
      <c r="F46" s="12">
        <v>4</v>
      </c>
      <c r="G46" s="12">
        <v>5</v>
      </c>
      <c r="H46" s="12">
        <v>5</v>
      </c>
      <c r="I46" s="12">
        <v>5</v>
      </c>
      <c r="J46" s="12">
        <v>5</v>
      </c>
      <c r="K46" s="13">
        <f t="shared" si="6"/>
        <v>34</v>
      </c>
      <c r="L46" s="12">
        <v>5</v>
      </c>
      <c r="M46" s="12">
        <v>5</v>
      </c>
      <c r="N46" s="12">
        <v>2</v>
      </c>
      <c r="O46" s="12">
        <v>5</v>
      </c>
      <c r="P46" s="12">
        <v>3</v>
      </c>
      <c r="Q46" s="12">
        <v>5</v>
      </c>
      <c r="R46" s="12">
        <v>4</v>
      </c>
      <c r="S46" s="12">
        <v>5</v>
      </c>
      <c r="T46" s="12">
        <v>5</v>
      </c>
      <c r="U46" s="12">
        <v>5</v>
      </c>
      <c r="V46" s="12">
        <v>5</v>
      </c>
      <c r="W46" s="12">
        <v>4</v>
      </c>
      <c r="X46" s="12">
        <v>2</v>
      </c>
      <c r="Y46" s="12">
        <v>4</v>
      </c>
      <c r="Z46" s="12">
        <v>3</v>
      </c>
      <c r="AA46" s="12">
        <v>4</v>
      </c>
      <c r="AB46" s="13">
        <f t="shared" si="7"/>
        <v>66</v>
      </c>
      <c r="AC46" s="14"/>
    </row>
    <row r="47" ht="216" spans="1:29">
      <c r="A47" s="20"/>
      <c r="B47" s="17" t="s">
        <v>252</v>
      </c>
      <c r="C47" s="11" t="s">
        <v>253</v>
      </c>
      <c r="D47" s="12">
        <v>5</v>
      </c>
      <c r="E47" s="12">
        <v>5</v>
      </c>
      <c r="F47" s="12">
        <v>4</v>
      </c>
      <c r="G47" s="12">
        <v>5</v>
      </c>
      <c r="H47" s="12">
        <v>5</v>
      </c>
      <c r="I47" s="12">
        <v>5</v>
      </c>
      <c r="J47" s="12">
        <v>4</v>
      </c>
      <c r="K47" s="13">
        <f t="shared" si="6"/>
        <v>33</v>
      </c>
      <c r="L47" s="12">
        <v>5</v>
      </c>
      <c r="M47" s="12">
        <v>5</v>
      </c>
      <c r="N47" s="12">
        <v>3</v>
      </c>
      <c r="O47" s="12">
        <v>5</v>
      </c>
      <c r="P47" s="12">
        <v>3</v>
      </c>
      <c r="Q47" s="12">
        <v>5</v>
      </c>
      <c r="R47" s="12">
        <v>4</v>
      </c>
      <c r="S47" s="12">
        <v>5</v>
      </c>
      <c r="T47" s="12">
        <v>5</v>
      </c>
      <c r="U47" s="12">
        <v>5</v>
      </c>
      <c r="V47" s="12">
        <v>5</v>
      </c>
      <c r="W47" s="12">
        <v>4</v>
      </c>
      <c r="X47" s="12">
        <v>3</v>
      </c>
      <c r="Y47" s="12">
        <v>4</v>
      </c>
      <c r="Z47" s="12">
        <v>3</v>
      </c>
      <c r="AA47" s="12">
        <v>4</v>
      </c>
      <c r="AB47" s="13">
        <f t="shared" si="7"/>
        <v>68</v>
      </c>
      <c r="AC47" s="14"/>
    </row>
    <row r="48" ht="157" customHeight="1" spans="1:29">
      <c r="A48" s="20"/>
      <c r="B48" s="17" t="s">
        <v>254</v>
      </c>
      <c r="C48" s="11" t="s">
        <v>255</v>
      </c>
      <c r="D48" s="12">
        <v>5</v>
      </c>
      <c r="E48" s="12">
        <v>5</v>
      </c>
      <c r="F48" s="12">
        <v>4</v>
      </c>
      <c r="G48" s="12">
        <v>5</v>
      </c>
      <c r="H48" s="12">
        <v>5</v>
      </c>
      <c r="I48" s="12">
        <v>5</v>
      </c>
      <c r="J48" s="12">
        <v>5</v>
      </c>
      <c r="K48" s="13">
        <f t="shared" si="6"/>
        <v>34</v>
      </c>
      <c r="L48" s="12">
        <v>5</v>
      </c>
      <c r="M48" s="12">
        <v>5</v>
      </c>
      <c r="N48" s="12">
        <v>3</v>
      </c>
      <c r="O48" s="12">
        <v>5</v>
      </c>
      <c r="P48" s="12">
        <v>3</v>
      </c>
      <c r="Q48" s="12">
        <v>5</v>
      </c>
      <c r="R48" s="12">
        <v>4</v>
      </c>
      <c r="S48" s="12">
        <v>5</v>
      </c>
      <c r="T48" s="12">
        <v>5</v>
      </c>
      <c r="U48" s="12">
        <v>5</v>
      </c>
      <c r="V48" s="12">
        <v>5</v>
      </c>
      <c r="W48" s="12">
        <v>4</v>
      </c>
      <c r="X48" s="12">
        <v>3</v>
      </c>
      <c r="Y48" s="12">
        <v>4</v>
      </c>
      <c r="Z48" s="12">
        <v>3</v>
      </c>
      <c r="AA48" s="12">
        <v>4</v>
      </c>
      <c r="AB48" s="13">
        <f t="shared" si="7"/>
        <v>68</v>
      </c>
      <c r="AC48" s="14"/>
    </row>
    <row r="49" ht="229.5" spans="1:29">
      <c r="A49" s="20"/>
      <c r="B49" s="17" t="s">
        <v>256</v>
      </c>
      <c r="C49" s="11" t="s">
        <v>257</v>
      </c>
      <c r="D49" s="12">
        <v>5</v>
      </c>
      <c r="E49" s="12">
        <v>5</v>
      </c>
      <c r="F49" s="12">
        <v>4</v>
      </c>
      <c r="G49" s="12">
        <v>5</v>
      </c>
      <c r="H49" s="12">
        <v>5</v>
      </c>
      <c r="I49" s="12">
        <v>5</v>
      </c>
      <c r="J49" s="12">
        <v>5</v>
      </c>
      <c r="K49" s="13">
        <f t="shared" si="6"/>
        <v>34</v>
      </c>
      <c r="L49" s="12">
        <v>5</v>
      </c>
      <c r="M49" s="12">
        <v>5</v>
      </c>
      <c r="N49" s="12">
        <v>3</v>
      </c>
      <c r="O49" s="12">
        <v>5</v>
      </c>
      <c r="P49" s="12">
        <v>3</v>
      </c>
      <c r="Q49" s="12">
        <v>5</v>
      </c>
      <c r="R49" s="12">
        <v>4</v>
      </c>
      <c r="S49" s="12">
        <v>5</v>
      </c>
      <c r="T49" s="12">
        <v>5</v>
      </c>
      <c r="U49" s="12">
        <v>5</v>
      </c>
      <c r="V49" s="12">
        <v>5</v>
      </c>
      <c r="W49" s="12">
        <v>4</v>
      </c>
      <c r="X49" s="12">
        <v>3</v>
      </c>
      <c r="Y49" s="12">
        <v>4</v>
      </c>
      <c r="Z49" s="12">
        <v>3</v>
      </c>
      <c r="AA49" s="12">
        <v>4</v>
      </c>
      <c r="AB49" s="13">
        <f t="shared" si="7"/>
        <v>68</v>
      </c>
      <c r="AC49" s="14"/>
    </row>
    <row r="50" ht="202.5" spans="1:29">
      <c r="A50" s="20"/>
      <c r="B50" s="17" t="s">
        <v>258</v>
      </c>
      <c r="C50" s="11" t="s">
        <v>259</v>
      </c>
      <c r="D50" s="12">
        <v>5</v>
      </c>
      <c r="E50" s="12">
        <v>5</v>
      </c>
      <c r="F50" s="12">
        <v>5</v>
      </c>
      <c r="G50" s="12">
        <v>5</v>
      </c>
      <c r="H50" s="12">
        <v>5</v>
      </c>
      <c r="I50" s="12">
        <v>5</v>
      </c>
      <c r="J50" s="12">
        <v>5</v>
      </c>
      <c r="K50" s="13">
        <f t="shared" si="6"/>
        <v>35</v>
      </c>
      <c r="L50" s="12">
        <v>5</v>
      </c>
      <c r="M50" s="12">
        <v>5</v>
      </c>
      <c r="N50" s="12">
        <v>2</v>
      </c>
      <c r="O50" s="12">
        <v>5</v>
      </c>
      <c r="P50" s="12">
        <v>3</v>
      </c>
      <c r="Q50" s="12">
        <v>5</v>
      </c>
      <c r="R50" s="12">
        <v>4</v>
      </c>
      <c r="S50" s="12">
        <v>5</v>
      </c>
      <c r="T50" s="12">
        <v>5</v>
      </c>
      <c r="U50" s="12">
        <v>5</v>
      </c>
      <c r="V50" s="12">
        <v>5</v>
      </c>
      <c r="W50" s="12">
        <v>4</v>
      </c>
      <c r="X50" s="12">
        <v>4</v>
      </c>
      <c r="Y50" s="12">
        <v>4</v>
      </c>
      <c r="Z50" s="12">
        <v>3</v>
      </c>
      <c r="AA50" s="12">
        <v>4</v>
      </c>
      <c r="AB50" s="13">
        <f t="shared" si="7"/>
        <v>68</v>
      </c>
      <c r="AC50" s="14"/>
    </row>
    <row r="51" ht="189" spans="1:29">
      <c r="A51" s="20"/>
      <c r="B51" s="17" t="s">
        <v>260</v>
      </c>
      <c r="C51" s="11" t="s">
        <v>261</v>
      </c>
      <c r="D51" s="12">
        <v>5</v>
      </c>
      <c r="E51" s="12">
        <v>5</v>
      </c>
      <c r="F51" s="12">
        <v>5</v>
      </c>
      <c r="G51" s="12">
        <v>5</v>
      </c>
      <c r="H51" s="12">
        <v>5</v>
      </c>
      <c r="I51" s="12">
        <v>5</v>
      </c>
      <c r="J51" s="12">
        <v>5</v>
      </c>
      <c r="K51" s="13">
        <f t="shared" si="6"/>
        <v>35</v>
      </c>
      <c r="L51" s="12">
        <v>5</v>
      </c>
      <c r="M51" s="12">
        <v>5</v>
      </c>
      <c r="N51" s="12">
        <v>2</v>
      </c>
      <c r="O51" s="12">
        <v>5</v>
      </c>
      <c r="P51" s="12">
        <v>3</v>
      </c>
      <c r="Q51" s="12">
        <v>5</v>
      </c>
      <c r="R51" s="12">
        <v>4</v>
      </c>
      <c r="S51" s="12">
        <v>5</v>
      </c>
      <c r="T51" s="12">
        <v>5</v>
      </c>
      <c r="U51" s="12">
        <v>5</v>
      </c>
      <c r="V51" s="12">
        <v>5</v>
      </c>
      <c r="W51" s="12">
        <v>4</v>
      </c>
      <c r="X51" s="12">
        <v>4</v>
      </c>
      <c r="Y51" s="12">
        <v>4</v>
      </c>
      <c r="Z51" s="12">
        <v>3</v>
      </c>
      <c r="AA51" s="12">
        <v>4</v>
      </c>
      <c r="AB51" s="13">
        <f t="shared" si="7"/>
        <v>68</v>
      </c>
      <c r="AC51" s="14"/>
    </row>
    <row r="52" ht="190.9" spans="1:29">
      <c r="A52" s="20"/>
      <c r="B52" s="17" t="s">
        <v>262</v>
      </c>
      <c r="C52" s="11" t="s">
        <v>263</v>
      </c>
      <c r="D52" s="12">
        <v>5</v>
      </c>
      <c r="E52" s="12">
        <v>5</v>
      </c>
      <c r="F52" s="12">
        <v>4</v>
      </c>
      <c r="G52" s="12">
        <v>5</v>
      </c>
      <c r="H52" s="12">
        <v>5</v>
      </c>
      <c r="I52" s="12">
        <v>5</v>
      </c>
      <c r="J52" s="12">
        <v>5</v>
      </c>
      <c r="K52" s="13">
        <f t="shared" si="6"/>
        <v>34</v>
      </c>
      <c r="L52" s="12">
        <v>5</v>
      </c>
      <c r="M52" s="12">
        <v>5</v>
      </c>
      <c r="N52" s="12">
        <v>2</v>
      </c>
      <c r="O52" s="12">
        <v>5</v>
      </c>
      <c r="P52" s="12">
        <v>3</v>
      </c>
      <c r="Q52" s="12">
        <v>5</v>
      </c>
      <c r="R52" s="12">
        <v>4</v>
      </c>
      <c r="S52" s="12">
        <v>5</v>
      </c>
      <c r="T52" s="12">
        <v>5</v>
      </c>
      <c r="U52" s="12">
        <v>5</v>
      </c>
      <c r="V52" s="12">
        <v>5</v>
      </c>
      <c r="W52" s="12">
        <v>4</v>
      </c>
      <c r="X52" s="12">
        <v>4</v>
      </c>
      <c r="Y52" s="12">
        <v>4</v>
      </c>
      <c r="Z52" s="12">
        <v>3</v>
      </c>
      <c r="AA52" s="12">
        <v>4</v>
      </c>
      <c r="AB52" s="13">
        <f t="shared" si="7"/>
        <v>68</v>
      </c>
      <c r="AC52" s="14"/>
    </row>
    <row r="53" ht="162" spans="1:29">
      <c r="A53" s="20"/>
      <c r="B53" s="17" t="s">
        <v>264</v>
      </c>
      <c r="C53" s="11" t="s">
        <v>265</v>
      </c>
      <c r="D53" s="12">
        <v>4</v>
      </c>
      <c r="E53" s="12">
        <v>5</v>
      </c>
      <c r="F53" s="12">
        <v>5</v>
      </c>
      <c r="G53" s="12">
        <v>5</v>
      </c>
      <c r="H53" s="12">
        <v>5</v>
      </c>
      <c r="I53" s="12">
        <v>5</v>
      </c>
      <c r="J53" s="12">
        <v>5</v>
      </c>
      <c r="K53" s="13">
        <f t="shared" si="6"/>
        <v>34</v>
      </c>
      <c r="L53" s="12">
        <v>4</v>
      </c>
      <c r="M53" s="12">
        <v>5</v>
      </c>
      <c r="N53" s="12">
        <v>3</v>
      </c>
      <c r="O53" s="12">
        <v>5</v>
      </c>
      <c r="P53" s="12">
        <v>3</v>
      </c>
      <c r="Q53" s="12">
        <v>5</v>
      </c>
      <c r="R53" s="12">
        <v>4</v>
      </c>
      <c r="S53" s="12">
        <v>3</v>
      </c>
      <c r="T53" s="12">
        <v>5</v>
      </c>
      <c r="U53" s="12">
        <v>5</v>
      </c>
      <c r="V53" s="12">
        <v>5</v>
      </c>
      <c r="W53" s="12">
        <v>4</v>
      </c>
      <c r="X53" s="12">
        <v>2</v>
      </c>
      <c r="Y53" s="12">
        <v>4</v>
      </c>
      <c r="Z53" s="12">
        <v>3</v>
      </c>
      <c r="AA53" s="12">
        <v>4</v>
      </c>
      <c r="AB53" s="13">
        <f t="shared" si="7"/>
        <v>64</v>
      </c>
      <c r="AC53" s="14"/>
    </row>
    <row r="54" ht="162" spans="1:29">
      <c r="A54" s="20"/>
      <c r="B54" s="17" t="s">
        <v>266</v>
      </c>
      <c r="C54" s="11" t="s">
        <v>267</v>
      </c>
      <c r="D54" s="12">
        <v>4</v>
      </c>
      <c r="E54" s="12">
        <v>5</v>
      </c>
      <c r="F54" s="12">
        <v>5</v>
      </c>
      <c r="G54" s="12">
        <v>5</v>
      </c>
      <c r="H54" s="12">
        <v>5</v>
      </c>
      <c r="I54" s="12">
        <v>5</v>
      </c>
      <c r="J54" s="12">
        <v>5</v>
      </c>
      <c r="K54" s="13">
        <f t="shared" si="6"/>
        <v>34</v>
      </c>
      <c r="L54" s="12">
        <v>4</v>
      </c>
      <c r="M54" s="12">
        <v>5</v>
      </c>
      <c r="N54" s="12">
        <v>3</v>
      </c>
      <c r="O54" s="12">
        <v>5</v>
      </c>
      <c r="P54" s="12">
        <v>3</v>
      </c>
      <c r="Q54" s="12">
        <v>5</v>
      </c>
      <c r="R54" s="12">
        <v>4</v>
      </c>
      <c r="S54" s="12">
        <v>3</v>
      </c>
      <c r="T54" s="12">
        <v>5</v>
      </c>
      <c r="U54" s="12">
        <v>5</v>
      </c>
      <c r="V54" s="12">
        <v>5</v>
      </c>
      <c r="W54" s="12">
        <v>4</v>
      </c>
      <c r="X54" s="12">
        <v>2</v>
      </c>
      <c r="Y54" s="12">
        <v>4</v>
      </c>
      <c r="Z54" s="12">
        <v>3</v>
      </c>
      <c r="AA54" s="12">
        <v>4</v>
      </c>
      <c r="AB54" s="13">
        <f t="shared" si="7"/>
        <v>64</v>
      </c>
      <c r="AC54" s="14"/>
    </row>
    <row r="55" ht="175.5" spans="1:29">
      <c r="A55" s="20"/>
      <c r="B55" s="17" t="s">
        <v>268</v>
      </c>
      <c r="C55" s="11" t="s">
        <v>269</v>
      </c>
      <c r="D55" s="12">
        <v>4</v>
      </c>
      <c r="E55" s="12">
        <v>5</v>
      </c>
      <c r="F55" s="12">
        <v>5</v>
      </c>
      <c r="G55" s="12">
        <v>5</v>
      </c>
      <c r="H55" s="12">
        <v>5</v>
      </c>
      <c r="I55" s="12">
        <v>5</v>
      </c>
      <c r="J55" s="12">
        <v>5</v>
      </c>
      <c r="K55" s="13">
        <f t="shared" si="6"/>
        <v>34</v>
      </c>
      <c r="L55" s="12">
        <v>4</v>
      </c>
      <c r="M55" s="12">
        <v>5</v>
      </c>
      <c r="N55" s="12">
        <v>3</v>
      </c>
      <c r="O55" s="12">
        <v>5</v>
      </c>
      <c r="P55" s="12">
        <v>3</v>
      </c>
      <c r="Q55" s="12">
        <v>5</v>
      </c>
      <c r="R55" s="12">
        <v>4</v>
      </c>
      <c r="S55" s="12">
        <v>3</v>
      </c>
      <c r="T55" s="12">
        <v>5</v>
      </c>
      <c r="U55" s="12">
        <v>5</v>
      </c>
      <c r="V55" s="12">
        <v>5</v>
      </c>
      <c r="W55" s="12">
        <v>4</v>
      </c>
      <c r="X55" s="12">
        <v>2</v>
      </c>
      <c r="Y55" s="12">
        <v>4</v>
      </c>
      <c r="Z55" s="12">
        <v>3</v>
      </c>
      <c r="AA55" s="12">
        <v>4</v>
      </c>
      <c r="AB55" s="13">
        <f t="shared" si="7"/>
        <v>64</v>
      </c>
      <c r="AC55" s="14"/>
    </row>
    <row r="56" ht="197" customHeight="1" spans="1:29">
      <c r="A56" s="15"/>
      <c r="B56" s="10" t="s">
        <v>316</v>
      </c>
      <c r="C56" s="11" t="s">
        <v>317</v>
      </c>
      <c r="D56" s="12">
        <v>5</v>
      </c>
      <c r="E56" s="12">
        <v>5</v>
      </c>
      <c r="F56" s="12">
        <v>5</v>
      </c>
      <c r="G56" s="12">
        <v>5</v>
      </c>
      <c r="H56" s="12">
        <v>5</v>
      </c>
      <c r="I56" s="12">
        <v>5</v>
      </c>
      <c r="J56" s="12">
        <v>5</v>
      </c>
      <c r="K56" s="13">
        <f t="shared" si="6"/>
        <v>35</v>
      </c>
      <c r="L56" s="12">
        <v>4</v>
      </c>
      <c r="M56" s="12">
        <v>4</v>
      </c>
      <c r="N56" s="12">
        <v>3</v>
      </c>
      <c r="O56" s="12">
        <v>5</v>
      </c>
      <c r="P56" s="12">
        <v>2</v>
      </c>
      <c r="Q56" s="12">
        <v>4</v>
      </c>
      <c r="R56" s="12">
        <v>4</v>
      </c>
      <c r="S56" s="12">
        <v>5</v>
      </c>
      <c r="T56" s="12">
        <v>5</v>
      </c>
      <c r="U56" s="12">
        <v>5</v>
      </c>
      <c r="V56" s="12">
        <v>5</v>
      </c>
      <c r="W56" s="12">
        <v>3</v>
      </c>
      <c r="X56" s="12">
        <v>3</v>
      </c>
      <c r="Y56" s="12">
        <v>4</v>
      </c>
      <c r="Z56" s="12">
        <v>3</v>
      </c>
      <c r="AA56" s="12">
        <v>3</v>
      </c>
      <c r="AB56" s="13">
        <f t="shared" si="7"/>
        <v>62</v>
      </c>
      <c r="AC56" s="14"/>
    </row>
    <row r="57" ht="195" customHeight="1" spans="1:29">
      <c r="A57" s="15"/>
      <c r="B57" s="10" t="s">
        <v>318</v>
      </c>
      <c r="C57" s="11" t="s">
        <v>319</v>
      </c>
      <c r="D57" s="12">
        <v>5</v>
      </c>
      <c r="E57" s="12">
        <v>5</v>
      </c>
      <c r="F57" s="12">
        <v>5</v>
      </c>
      <c r="G57" s="12">
        <v>5</v>
      </c>
      <c r="H57" s="12">
        <v>5</v>
      </c>
      <c r="I57" s="12">
        <v>5</v>
      </c>
      <c r="J57" s="12">
        <v>5</v>
      </c>
      <c r="K57" s="13">
        <f t="shared" si="6"/>
        <v>35</v>
      </c>
      <c r="L57" s="12">
        <v>4</v>
      </c>
      <c r="M57" s="12">
        <v>4</v>
      </c>
      <c r="N57" s="12">
        <v>3</v>
      </c>
      <c r="O57" s="12">
        <v>5</v>
      </c>
      <c r="P57" s="12">
        <v>2</v>
      </c>
      <c r="Q57" s="12">
        <v>4</v>
      </c>
      <c r="R57" s="12">
        <v>4</v>
      </c>
      <c r="S57" s="12">
        <v>5</v>
      </c>
      <c r="T57" s="12">
        <v>5</v>
      </c>
      <c r="U57" s="12">
        <v>5</v>
      </c>
      <c r="V57" s="12">
        <v>5</v>
      </c>
      <c r="W57" s="12">
        <v>3</v>
      </c>
      <c r="X57" s="12">
        <v>3</v>
      </c>
      <c r="Y57" s="12">
        <v>4</v>
      </c>
      <c r="Z57" s="12">
        <v>3</v>
      </c>
      <c r="AA57" s="12">
        <v>3</v>
      </c>
      <c r="AB57" s="13">
        <f t="shared" si="7"/>
        <v>62</v>
      </c>
      <c r="AC57" s="14"/>
    </row>
    <row r="58" ht="181" customHeight="1" spans="1:29">
      <c r="A58" s="21"/>
      <c r="B58" s="10" t="s">
        <v>320</v>
      </c>
      <c r="C58" s="11" t="s">
        <v>321</v>
      </c>
      <c r="D58" s="12">
        <v>5</v>
      </c>
      <c r="E58" s="12">
        <v>5</v>
      </c>
      <c r="F58" s="12">
        <v>5</v>
      </c>
      <c r="G58" s="12">
        <v>5</v>
      </c>
      <c r="H58" s="12">
        <v>5</v>
      </c>
      <c r="I58" s="12">
        <v>5</v>
      </c>
      <c r="J58" s="12">
        <v>5</v>
      </c>
      <c r="K58" s="13">
        <f t="shared" si="6"/>
        <v>35</v>
      </c>
      <c r="L58" s="12">
        <v>4</v>
      </c>
      <c r="M58" s="12">
        <v>4</v>
      </c>
      <c r="N58" s="12">
        <v>3</v>
      </c>
      <c r="O58" s="12">
        <v>5</v>
      </c>
      <c r="P58" s="12">
        <v>2</v>
      </c>
      <c r="Q58" s="12">
        <v>5</v>
      </c>
      <c r="R58" s="12">
        <v>4</v>
      </c>
      <c r="S58" s="12">
        <v>5</v>
      </c>
      <c r="T58" s="12">
        <v>5</v>
      </c>
      <c r="U58" s="12">
        <v>5</v>
      </c>
      <c r="V58" s="12">
        <v>5</v>
      </c>
      <c r="W58" s="12">
        <v>3</v>
      </c>
      <c r="X58" s="12">
        <v>3</v>
      </c>
      <c r="Y58" s="12">
        <v>4</v>
      </c>
      <c r="Z58" s="12">
        <v>3</v>
      </c>
      <c r="AA58" s="12">
        <v>3</v>
      </c>
      <c r="AB58" s="13">
        <f t="shared" si="7"/>
        <v>63</v>
      </c>
      <c r="AC58" s="14"/>
    </row>
    <row r="59" ht="175.5" spans="1:29">
      <c r="A59" s="21"/>
      <c r="B59" s="10" t="s">
        <v>322</v>
      </c>
      <c r="C59" s="11" t="s">
        <v>323</v>
      </c>
      <c r="D59" s="12">
        <v>5</v>
      </c>
      <c r="E59" s="12">
        <v>5</v>
      </c>
      <c r="F59" s="12">
        <v>5</v>
      </c>
      <c r="G59" s="12">
        <v>5</v>
      </c>
      <c r="H59" s="12">
        <v>5</v>
      </c>
      <c r="I59" s="12">
        <v>5</v>
      </c>
      <c r="J59" s="12">
        <v>5</v>
      </c>
      <c r="K59" s="13">
        <f t="shared" si="6"/>
        <v>35</v>
      </c>
      <c r="L59" s="12">
        <v>4</v>
      </c>
      <c r="M59" s="12">
        <v>4</v>
      </c>
      <c r="N59" s="12">
        <v>3</v>
      </c>
      <c r="O59" s="12">
        <v>5</v>
      </c>
      <c r="P59" s="12">
        <v>2</v>
      </c>
      <c r="Q59" s="12">
        <v>5</v>
      </c>
      <c r="R59" s="12">
        <v>4</v>
      </c>
      <c r="S59" s="12">
        <v>5</v>
      </c>
      <c r="T59" s="12">
        <v>5</v>
      </c>
      <c r="U59" s="12">
        <v>5</v>
      </c>
      <c r="V59" s="12">
        <v>5</v>
      </c>
      <c r="W59" s="12">
        <v>3</v>
      </c>
      <c r="X59" s="12">
        <v>3</v>
      </c>
      <c r="Y59" s="12">
        <v>4</v>
      </c>
      <c r="Z59" s="12">
        <v>3</v>
      </c>
      <c r="AA59" s="12">
        <v>3</v>
      </c>
      <c r="AB59" s="13">
        <f t="shared" si="7"/>
        <v>63</v>
      </c>
      <c r="AC59" s="14"/>
    </row>
    <row r="60" spans="1:29">
      <c r="D60">
        <f>AVERAGE(D42:D59)</f>
        <v>4.83333333333333</v>
      </c>
      <c r="E60">
        <f t="shared" ref="E60:AB60" si="8">AVERAGE(E42:E59)</f>
        <v>5</v>
      </c>
      <c r="F60">
        <f t="shared" si="8"/>
        <v>4.66666666666667</v>
      </c>
      <c r="G60">
        <f t="shared" si="8"/>
        <v>5</v>
      </c>
      <c r="H60">
        <f t="shared" si="8"/>
        <v>5</v>
      </c>
      <c r="I60">
        <f t="shared" si="8"/>
        <v>5</v>
      </c>
      <c r="J60">
        <f t="shared" si="8"/>
        <v>4.88888888888889</v>
      </c>
      <c r="K60">
        <f t="shared" si="8"/>
        <v>34.3888888888889</v>
      </c>
      <c r="L60">
        <f t="shared" si="8"/>
        <v>4.61111111111111</v>
      </c>
      <c r="M60">
        <f t="shared" si="8"/>
        <v>4.77777777777778</v>
      </c>
      <c r="N60">
        <f t="shared" si="8"/>
        <v>2.61111111111111</v>
      </c>
      <c r="O60">
        <f t="shared" si="8"/>
        <v>4.88888888888889</v>
      </c>
      <c r="P60">
        <f t="shared" si="8"/>
        <v>2.77777777777778</v>
      </c>
      <c r="Q60">
        <f t="shared" si="8"/>
        <v>4.88888888888889</v>
      </c>
      <c r="R60">
        <f t="shared" si="8"/>
        <v>4</v>
      </c>
      <c r="S60">
        <f t="shared" si="8"/>
        <v>4.66666666666667</v>
      </c>
      <c r="T60">
        <f t="shared" si="8"/>
        <v>5</v>
      </c>
      <c r="U60">
        <f t="shared" si="8"/>
        <v>5</v>
      </c>
      <c r="V60">
        <f t="shared" si="8"/>
        <v>5</v>
      </c>
      <c r="W60">
        <f t="shared" si="8"/>
        <v>3.77777777777778</v>
      </c>
      <c r="X60">
        <f t="shared" si="8"/>
        <v>2.83333333333333</v>
      </c>
      <c r="Y60">
        <f t="shared" si="8"/>
        <v>4</v>
      </c>
      <c r="Z60">
        <f t="shared" si="8"/>
        <v>3</v>
      </c>
      <c r="AA60">
        <f t="shared" si="8"/>
        <v>3.77777777777778</v>
      </c>
      <c r="AB60">
        <f t="shared" si="8"/>
        <v>65.6111111111111</v>
      </c>
    </row>
    <row r="62" ht="162" spans="1:29">
      <c r="A62" s="15" t="s">
        <v>110</v>
      </c>
      <c r="B62" s="10" t="s">
        <v>270</v>
      </c>
      <c r="C62" s="11" t="s">
        <v>271</v>
      </c>
      <c r="D62" s="12">
        <v>5</v>
      </c>
      <c r="E62" s="12">
        <v>5</v>
      </c>
      <c r="F62" s="12">
        <v>4</v>
      </c>
      <c r="G62" s="12">
        <v>5</v>
      </c>
      <c r="H62" s="12">
        <v>5</v>
      </c>
      <c r="I62" s="12">
        <v>5</v>
      </c>
      <c r="J62" s="12">
        <v>5</v>
      </c>
      <c r="K62" s="13">
        <f t="shared" ref="K62:K67" si="9">SUM(D62:J62)</f>
        <v>34</v>
      </c>
      <c r="L62" s="12">
        <v>5</v>
      </c>
      <c r="M62" s="12">
        <v>5</v>
      </c>
      <c r="N62" s="12">
        <v>2</v>
      </c>
      <c r="O62" s="12">
        <v>5</v>
      </c>
      <c r="P62" s="12">
        <v>2</v>
      </c>
      <c r="Q62" s="12">
        <v>5</v>
      </c>
      <c r="R62" s="12">
        <v>4</v>
      </c>
      <c r="S62" s="12">
        <v>5</v>
      </c>
      <c r="T62" s="12">
        <v>5</v>
      </c>
      <c r="U62" s="12">
        <v>5</v>
      </c>
      <c r="V62" s="12">
        <v>5</v>
      </c>
      <c r="W62" s="12">
        <v>4</v>
      </c>
      <c r="X62" s="12">
        <v>2</v>
      </c>
      <c r="Y62" s="12">
        <v>4</v>
      </c>
      <c r="Z62" s="12">
        <v>3</v>
      </c>
      <c r="AA62" s="12">
        <v>5</v>
      </c>
      <c r="AB62" s="13">
        <f t="shared" ref="AB62:AB67" si="10">SUM(L62:AA62)</f>
        <v>66</v>
      </c>
      <c r="AC62" s="14"/>
    </row>
    <row r="63" ht="148.5" spans="1:29">
      <c r="A63" s="15"/>
      <c r="B63" s="10" t="s">
        <v>272</v>
      </c>
      <c r="C63" s="11" t="s">
        <v>273</v>
      </c>
      <c r="D63" s="12">
        <v>5</v>
      </c>
      <c r="E63" s="12">
        <v>5</v>
      </c>
      <c r="F63" s="12">
        <v>5</v>
      </c>
      <c r="G63" s="12">
        <v>5</v>
      </c>
      <c r="H63" s="12">
        <v>5</v>
      </c>
      <c r="I63" s="12">
        <v>5</v>
      </c>
      <c r="J63" s="12">
        <v>5</v>
      </c>
      <c r="K63" s="13">
        <f t="shared" si="9"/>
        <v>35</v>
      </c>
      <c r="L63" s="12">
        <v>5</v>
      </c>
      <c r="M63" s="12">
        <v>5</v>
      </c>
      <c r="N63" s="12">
        <v>2</v>
      </c>
      <c r="O63" s="12">
        <v>5</v>
      </c>
      <c r="P63" s="12">
        <v>2</v>
      </c>
      <c r="Q63" s="12">
        <v>5</v>
      </c>
      <c r="R63" s="12">
        <v>4</v>
      </c>
      <c r="S63" s="12">
        <v>5</v>
      </c>
      <c r="T63" s="12">
        <v>5</v>
      </c>
      <c r="U63" s="12">
        <v>5</v>
      </c>
      <c r="V63" s="12">
        <v>5</v>
      </c>
      <c r="W63" s="12">
        <v>4</v>
      </c>
      <c r="X63" s="12">
        <v>2</v>
      </c>
      <c r="Y63" s="12">
        <v>4</v>
      </c>
      <c r="Z63" s="12">
        <v>3</v>
      </c>
      <c r="AA63" s="12">
        <v>5</v>
      </c>
      <c r="AB63" s="13">
        <f t="shared" si="10"/>
        <v>66</v>
      </c>
      <c r="AC63" s="14"/>
    </row>
    <row r="64" ht="148.5" spans="1:29">
      <c r="A64" s="15"/>
      <c r="B64" s="10" t="s">
        <v>274</v>
      </c>
      <c r="C64" s="11" t="s">
        <v>275</v>
      </c>
      <c r="D64" s="12">
        <v>5</v>
      </c>
      <c r="E64" s="12">
        <v>5</v>
      </c>
      <c r="F64" s="12">
        <v>5</v>
      </c>
      <c r="G64" s="12">
        <v>5</v>
      </c>
      <c r="H64" s="12">
        <v>5</v>
      </c>
      <c r="I64" s="12">
        <v>5</v>
      </c>
      <c r="J64" s="12">
        <v>5</v>
      </c>
      <c r="K64" s="13">
        <f t="shared" si="9"/>
        <v>35</v>
      </c>
      <c r="L64" s="12">
        <v>5</v>
      </c>
      <c r="M64" s="12">
        <v>5</v>
      </c>
      <c r="N64" s="12">
        <v>2</v>
      </c>
      <c r="O64" s="12">
        <v>5</v>
      </c>
      <c r="P64" s="12">
        <v>2</v>
      </c>
      <c r="Q64" s="12">
        <v>5</v>
      </c>
      <c r="R64" s="12">
        <v>4</v>
      </c>
      <c r="S64" s="12">
        <v>3</v>
      </c>
      <c r="T64" s="12">
        <v>5</v>
      </c>
      <c r="U64" s="12">
        <v>5</v>
      </c>
      <c r="V64" s="12">
        <v>5</v>
      </c>
      <c r="W64" s="12">
        <v>4</v>
      </c>
      <c r="X64" s="12">
        <v>2</v>
      </c>
      <c r="Y64" s="12">
        <v>3</v>
      </c>
      <c r="Z64" s="12">
        <v>3</v>
      </c>
      <c r="AA64" s="12">
        <v>5</v>
      </c>
      <c r="AB64" s="13">
        <f t="shared" si="10"/>
        <v>63</v>
      </c>
      <c r="AC64" s="14"/>
    </row>
    <row r="65" ht="135" spans="1:29">
      <c r="A65" s="15"/>
      <c r="B65" s="10" t="s">
        <v>324</v>
      </c>
      <c r="C65" s="11" t="s">
        <v>325</v>
      </c>
      <c r="D65" s="12">
        <v>5</v>
      </c>
      <c r="E65" s="12">
        <v>5</v>
      </c>
      <c r="F65" s="12">
        <v>5</v>
      </c>
      <c r="G65" s="12">
        <v>5</v>
      </c>
      <c r="H65" s="12">
        <v>5</v>
      </c>
      <c r="I65" s="12">
        <v>5</v>
      </c>
      <c r="J65" s="12">
        <v>5</v>
      </c>
      <c r="K65" s="13">
        <f t="shared" si="9"/>
        <v>35</v>
      </c>
      <c r="L65" s="12">
        <v>5</v>
      </c>
      <c r="M65" s="12">
        <v>5</v>
      </c>
      <c r="N65" s="12">
        <v>3</v>
      </c>
      <c r="O65" s="12">
        <v>5</v>
      </c>
      <c r="P65" s="12">
        <v>3</v>
      </c>
      <c r="Q65" s="12">
        <v>4</v>
      </c>
      <c r="R65" s="12">
        <v>4</v>
      </c>
      <c r="S65" s="12">
        <v>5</v>
      </c>
      <c r="T65" s="12">
        <v>5</v>
      </c>
      <c r="U65" s="12">
        <v>5</v>
      </c>
      <c r="V65" s="12">
        <v>5</v>
      </c>
      <c r="W65" s="12">
        <v>4</v>
      </c>
      <c r="X65" s="12">
        <v>3</v>
      </c>
      <c r="Y65" s="12">
        <v>4</v>
      </c>
      <c r="Z65" s="12">
        <v>3</v>
      </c>
      <c r="AA65" s="12">
        <v>4</v>
      </c>
      <c r="AB65" s="13">
        <f t="shared" si="10"/>
        <v>67</v>
      </c>
      <c r="AC65" s="14"/>
    </row>
    <row r="66" ht="148.5" spans="1:29">
      <c r="A66" s="15"/>
      <c r="B66" s="10" t="s">
        <v>326</v>
      </c>
      <c r="C66" s="11" t="s">
        <v>327</v>
      </c>
      <c r="D66" s="12">
        <v>5</v>
      </c>
      <c r="E66" s="12">
        <v>5</v>
      </c>
      <c r="F66" s="12">
        <v>5</v>
      </c>
      <c r="G66" s="12">
        <v>5</v>
      </c>
      <c r="H66" s="12">
        <v>5</v>
      </c>
      <c r="I66" s="12">
        <v>5</v>
      </c>
      <c r="J66" s="12">
        <v>5</v>
      </c>
      <c r="K66" s="13">
        <f t="shared" si="9"/>
        <v>35</v>
      </c>
      <c r="L66" s="12">
        <v>5</v>
      </c>
      <c r="M66" s="12">
        <v>5</v>
      </c>
      <c r="N66" s="12">
        <v>3</v>
      </c>
      <c r="O66" s="12">
        <v>5</v>
      </c>
      <c r="P66" s="12">
        <v>3</v>
      </c>
      <c r="Q66" s="12">
        <v>4</v>
      </c>
      <c r="R66" s="12">
        <v>4</v>
      </c>
      <c r="S66" s="12">
        <v>5</v>
      </c>
      <c r="T66" s="12">
        <v>5</v>
      </c>
      <c r="U66" s="12">
        <v>5</v>
      </c>
      <c r="V66" s="12">
        <v>5</v>
      </c>
      <c r="W66" s="12">
        <v>4</v>
      </c>
      <c r="X66" s="12">
        <v>3</v>
      </c>
      <c r="Y66" s="12">
        <v>4</v>
      </c>
      <c r="Z66" s="12">
        <v>3</v>
      </c>
      <c r="AA66" s="12">
        <v>4</v>
      </c>
      <c r="AB66" s="13">
        <f t="shared" si="10"/>
        <v>67</v>
      </c>
      <c r="AC66" s="14"/>
    </row>
    <row r="67" ht="121.5" spans="1:29">
      <c r="A67" s="15"/>
      <c r="B67" s="10" t="s">
        <v>328</v>
      </c>
      <c r="C67" s="11" t="s">
        <v>329</v>
      </c>
      <c r="D67" s="12">
        <v>5</v>
      </c>
      <c r="E67" s="12">
        <v>5</v>
      </c>
      <c r="F67" s="12">
        <v>5</v>
      </c>
      <c r="G67" s="12">
        <v>5</v>
      </c>
      <c r="H67" s="12">
        <v>5</v>
      </c>
      <c r="I67" s="12">
        <v>5</v>
      </c>
      <c r="J67" s="12">
        <v>5</v>
      </c>
      <c r="K67" s="13">
        <f t="shared" si="9"/>
        <v>35</v>
      </c>
      <c r="L67" s="12">
        <v>5</v>
      </c>
      <c r="M67" s="12">
        <v>5</v>
      </c>
      <c r="N67" s="12">
        <v>3</v>
      </c>
      <c r="O67" s="12">
        <v>5</v>
      </c>
      <c r="P67" s="12">
        <v>3</v>
      </c>
      <c r="Q67" s="12">
        <v>4</v>
      </c>
      <c r="R67" s="12">
        <v>4</v>
      </c>
      <c r="S67" s="12">
        <v>5</v>
      </c>
      <c r="T67" s="12">
        <v>5</v>
      </c>
      <c r="U67" s="12">
        <v>5</v>
      </c>
      <c r="V67" s="12">
        <v>5</v>
      </c>
      <c r="W67" s="12">
        <v>4</v>
      </c>
      <c r="X67" s="12">
        <v>3</v>
      </c>
      <c r="Y67" s="12">
        <v>4</v>
      </c>
      <c r="Z67" s="12">
        <v>3</v>
      </c>
      <c r="AA67" s="12">
        <v>4</v>
      </c>
      <c r="AB67" s="13">
        <f t="shared" si="10"/>
        <v>67</v>
      </c>
      <c r="AC67" s="14"/>
    </row>
    <row r="68" spans="1:29">
      <c r="D68">
        <f>AVERAGE(D62:D67)</f>
        <v>5</v>
      </c>
      <c r="E68">
        <f t="shared" ref="E68:AB68" si="11">AVERAGE(E62:E67)</f>
        <v>5</v>
      </c>
      <c r="F68">
        <f t="shared" si="11"/>
        <v>4.83333333333333</v>
      </c>
      <c r="G68">
        <f t="shared" si="11"/>
        <v>5</v>
      </c>
      <c r="H68">
        <f t="shared" si="11"/>
        <v>5</v>
      </c>
      <c r="I68">
        <f t="shared" si="11"/>
        <v>5</v>
      </c>
      <c r="J68">
        <f t="shared" si="11"/>
        <v>5</v>
      </c>
      <c r="K68">
        <f t="shared" si="11"/>
        <v>34.8333333333333</v>
      </c>
      <c r="L68">
        <f t="shared" si="11"/>
        <v>5</v>
      </c>
      <c r="M68">
        <f t="shared" si="11"/>
        <v>5</v>
      </c>
      <c r="N68">
        <f t="shared" si="11"/>
        <v>2.5</v>
      </c>
      <c r="O68">
        <f t="shared" si="11"/>
        <v>5</v>
      </c>
      <c r="P68">
        <f t="shared" si="11"/>
        <v>2.5</v>
      </c>
      <c r="Q68">
        <f t="shared" si="11"/>
        <v>4.5</v>
      </c>
      <c r="R68">
        <f t="shared" si="11"/>
        <v>4</v>
      </c>
      <c r="S68">
        <f t="shared" si="11"/>
        <v>4.66666666666667</v>
      </c>
      <c r="T68">
        <f t="shared" si="11"/>
        <v>5</v>
      </c>
      <c r="U68">
        <f t="shared" si="11"/>
        <v>5</v>
      </c>
      <c r="V68">
        <f t="shared" si="11"/>
        <v>5</v>
      </c>
      <c r="W68">
        <f t="shared" si="11"/>
        <v>4</v>
      </c>
      <c r="X68">
        <f t="shared" si="11"/>
        <v>2.5</v>
      </c>
      <c r="Y68">
        <f t="shared" si="11"/>
        <v>3.83333333333333</v>
      </c>
      <c r="Z68">
        <f t="shared" si="11"/>
        <v>3</v>
      </c>
      <c r="AA68">
        <f t="shared" si="11"/>
        <v>4.5</v>
      </c>
      <c r="AB68">
        <f t="shared" si="11"/>
        <v>66</v>
      </c>
    </row>
    <row r="70" ht="135" spans="1:29">
      <c r="A70" s="22" t="s">
        <v>276</v>
      </c>
      <c r="B70" s="10" t="s">
        <v>277</v>
      </c>
      <c r="C70" s="11" t="s">
        <v>278</v>
      </c>
      <c r="D70" s="12">
        <v>5</v>
      </c>
      <c r="E70" s="12">
        <v>5</v>
      </c>
      <c r="F70" s="12">
        <v>4</v>
      </c>
      <c r="G70" s="12">
        <v>5</v>
      </c>
      <c r="H70" s="12">
        <v>5</v>
      </c>
      <c r="I70" s="12">
        <v>5</v>
      </c>
      <c r="J70" s="12">
        <v>5</v>
      </c>
      <c r="K70" s="13">
        <f t="shared" ref="K70:K80" si="12">SUM(D70:J70)</f>
        <v>34</v>
      </c>
      <c r="L70" s="12">
        <v>5</v>
      </c>
      <c r="M70" s="12">
        <v>5</v>
      </c>
      <c r="N70" s="12">
        <v>4</v>
      </c>
      <c r="O70" s="12">
        <v>5</v>
      </c>
      <c r="P70" s="12">
        <v>2</v>
      </c>
      <c r="Q70" s="12">
        <v>4</v>
      </c>
      <c r="R70" s="12">
        <v>4</v>
      </c>
      <c r="S70" s="12">
        <v>1</v>
      </c>
      <c r="T70" s="12">
        <v>5</v>
      </c>
      <c r="U70" s="12">
        <v>5</v>
      </c>
      <c r="V70" s="12">
        <v>5</v>
      </c>
      <c r="W70" s="12">
        <v>4</v>
      </c>
      <c r="X70" s="12">
        <v>2</v>
      </c>
      <c r="Y70" s="12">
        <v>3</v>
      </c>
      <c r="Z70" s="12">
        <v>3</v>
      </c>
      <c r="AA70" s="12">
        <v>3</v>
      </c>
      <c r="AB70" s="13">
        <f t="shared" ref="AB70:AB80" si="13">SUM(L70:AA70)</f>
        <v>60</v>
      </c>
      <c r="AC70" s="14"/>
    </row>
    <row r="71" customFormat="1" ht="195" customHeight="1" spans="1:29">
      <c r="A71" s="23"/>
      <c r="B71" s="10" t="s">
        <v>279</v>
      </c>
      <c r="C71" s="11" t="s">
        <v>280</v>
      </c>
      <c r="D71" s="12">
        <v>5</v>
      </c>
      <c r="E71" s="12">
        <v>5</v>
      </c>
      <c r="F71" s="12">
        <v>5</v>
      </c>
      <c r="G71" s="12">
        <v>5</v>
      </c>
      <c r="H71" s="12">
        <v>5</v>
      </c>
      <c r="I71" s="12">
        <v>5</v>
      </c>
      <c r="J71" s="12">
        <v>5</v>
      </c>
      <c r="K71" s="13">
        <f t="shared" si="12"/>
        <v>35</v>
      </c>
      <c r="L71" s="12">
        <v>5</v>
      </c>
      <c r="M71" s="12">
        <v>5</v>
      </c>
      <c r="N71" s="12">
        <v>2</v>
      </c>
      <c r="O71" s="12">
        <v>5</v>
      </c>
      <c r="P71" s="12">
        <v>2</v>
      </c>
      <c r="Q71" s="12">
        <v>4</v>
      </c>
      <c r="R71" s="12">
        <v>4</v>
      </c>
      <c r="S71" s="12">
        <v>3</v>
      </c>
      <c r="T71" s="12">
        <v>5</v>
      </c>
      <c r="U71" s="12">
        <v>5</v>
      </c>
      <c r="V71" s="12">
        <v>5</v>
      </c>
      <c r="W71" s="12">
        <v>4</v>
      </c>
      <c r="X71" s="12">
        <v>2</v>
      </c>
      <c r="Y71" s="12">
        <v>4</v>
      </c>
      <c r="Z71" s="12">
        <v>3</v>
      </c>
      <c r="AA71" s="12">
        <v>3</v>
      </c>
      <c r="AB71" s="13">
        <f t="shared" si="13"/>
        <v>61</v>
      </c>
      <c r="AC71" s="14"/>
    </row>
    <row r="72" customFormat="1" ht="223" customHeight="1" spans="1:29">
      <c r="A72" s="23"/>
      <c r="B72" s="10" t="s">
        <v>281</v>
      </c>
      <c r="C72" s="11" t="s">
        <v>282</v>
      </c>
      <c r="D72" s="12">
        <v>5</v>
      </c>
      <c r="E72" s="12">
        <v>5</v>
      </c>
      <c r="F72" s="12">
        <v>5</v>
      </c>
      <c r="G72" s="12">
        <v>5</v>
      </c>
      <c r="H72" s="12">
        <v>5</v>
      </c>
      <c r="I72" s="12">
        <v>5</v>
      </c>
      <c r="J72" s="12">
        <v>5</v>
      </c>
      <c r="K72" s="13">
        <f t="shared" si="12"/>
        <v>35</v>
      </c>
      <c r="L72" s="12">
        <v>5</v>
      </c>
      <c r="M72" s="12">
        <v>5</v>
      </c>
      <c r="N72" s="12">
        <v>2</v>
      </c>
      <c r="O72" s="12">
        <v>5</v>
      </c>
      <c r="P72" s="12">
        <v>4</v>
      </c>
      <c r="Q72" s="12">
        <v>4</v>
      </c>
      <c r="R72" s="12">
        <v>4</v>
      </c>
      <c r="S72" s="12">
        <v>3</v>
      </c>
      <c r="T72" s="12">
        <v>5</v>
      </c>
      <c r="U72" s="12">
        <v>3</v>
      </c>
      <c r="V72" s="12">
        <v>5</v>
      </c>
      <c r="W72" s="12">
        <v>4</v>
      </c>
      <c r="X72" s="12">
        <v>3</v>
      </c>
      <c r="Y72" s="12">
        <v>4</v>
      </c>
      <c r="Z72" s="12">
        <v>3</v>
      </c>
      <c r="AA72" s="12">
        <v>3</v>
      </c>
      <c r="AB72" s="13">
        <f t="shared" si="13"/>
        <v>62</v>
      </c>
      <c r="AC72" s="14"/>
    </row>
    <row r="73" customFormat="1" ht="178" customHeight="1" spans="1:29">
      <c r="A73" s="23"/>
      <c r="B73" s="10" t="s">
        <v>283</v>
      </c>
      <c r="C73" s="11" t="s">
        <v>284</v>
      </c>
      <c r="D73" s="12">
        <v>5</v>
      </c>
      <c r="E73" s="12">
        <v>5</v>
      </c>
      <c r="F73" s="12">
        <v>5</v>
      </c>
      <c r="G73" s="12">
        <v>5</v>
      </c>
      <c r="H73" s="12">
        <v>5</v>
      </c>
      <c r="I73" s="12">
        <v>5</v>
      </c>
      <c r="J73" s="12">
        <v>5</v>
      </c>
      <c r="K73" s="13">
        <f t="shared" si="12"/>
        <v>35</v>
      </c>
      <c r="L73" s="12">
        <v>4</v>
      </c>
      <c r="M73" s="12">
        <v>4</v>
      </c>
      <c r="N73" s="12">
        <v>3</v>
      </c>
      <c r="O73" s="12">
        <v>4</v>
      </c>
      <c r="P73" s="12">
        <v>3</v>
      </c>
      <c r="Q73" s="12">
        <v>4</v>
      </c>
      <c r="R73" s="12">
        <v>4</v>
      </c>
      <c r="S73" s="12">
        <v>5</v>
      </c>
      <c r="T73" s="12">
        <v>5</v>
      </c>
      <c r="U73" s="12">
        <v>5</v>
      </c>
      <c r="V73" s="12">
        <v>5</v>
      </c>
      <c r="W73" s="12">
        <v>4</v>
      </c>
      <c r="X73" s="12">
        <v>3</v>
      </c>
      <c r="Y73" s="12">
        <v>4</v>
      </c>
      <c r="Z73" s="12">
        <v>3</v>
      </c>
      <c r="AA73" s="12">
        <v>4</v>
      </c>
      <c r="AB73" s="13">
        <f t="shared" si="13"/>
        <v>64</v>
      </c>
      <c r="AC73" s="14"/>
    </row>
    <row r="74" customFormat="1" ht="161" customHeight="1" spans="1:29">
      <c r="A74" s="23"/>
      <c r="B74" s="10" t="s">
        <v>285</v>
      </c>
      <c r="C74" s="11" t="s">
        <v>286</v>
      </c>
      <c r="D74" s="12">
        <v>5</v>
      </c>
      <c r="E74" s="12">
        <v>5</v>
      </c>
      <c r="F74" s="12">
        <v>5</v>
      </c>
      <c r="G74" s="12">
        <v>5</v>
      </c>
      <c r="H74" s="12">
        <v>5</v>
      </c>
      <c r="I74" s="12">
        <v>5</v>
      </c>
      <c r="J74" s="12">
        <v>5</v>
      </c>
      <c r="K74" s="13">
        <f t="shared" si="12"/>
        <v>35</v>
      </c>
      <c r="L74" s="12">
        <v>5</v>
      </c>
      <c r="M74" s="12">
        <v>5</v>
      </c>
      <c r="N74" s="12">
        <v>3</v>
      </c>
      <c r="O74" s="12">
        <v>5</v>
      </c>
      <c r="P74" s="12">
        <v>4</v>
      </c>
      <c r="Q74" s="12">
        <v>4</v>
      </c>
      <c r="R74" s="12">
        <v>5</v>
      </c>
      <c r="S74" s="12">
        <v>5</v>
      </c>
      <c r="T74" s="12">
        <v>4</v>
      </c>
      <c r="U74" s="12">
        <v>5</v>
      </c>
      <c r="V74" s="12">
        <v>5</v>
      </c>
      <c r="W74" s="12">
        <v>5</v>
      </c>
      <c r="X74" s="12">
        <v>4</v>
      </c>
      <c r="Y74" s="12">
        <v>4</v>
      </c>
      <c r="Z74" s="12">
        <v>3</v>
      </c>
      <c r="AA74" s="12">
        <v>4</v>
      </c>
      <c r="AB74" s="13">
        <f t="shared" si="13"/>
        <v>70</v>
      </c>
      <c r="AC74" s="14"/>
    </row>
    <row r="75" customFormat="1" ht="167" customHeight="1" spans="1:29">
      <c r="A75" s="23"/>
      <c r="B75" s="10" t="s">
        <v>287</v>
      </c>
      <c r="C75" s="11" t="s">
        <v>288</v>
      </c>
      <c r="D75" s="12">
        <v>5</v>
      </c>
      <c r="E75" s="12">
        <v>5</v>
      </c>
      <c r="F75" s="12">
        <v>5</v>
      </c>
      <c r="G75" s="12">
        <v>5</v>
      </c>
      <c r="H75" s="12">
        <v>5</v>
      </c>
      <c r="I75" s="12">
        <v>5</v>
      </c>
      <c r="J75" s="12">
        <v>5</v>
      </c>
      <c r="K75" s="13">
        <f t="shared" si="12"/>
        <v>35</v>
      </c>
      <c r="L75" s="12">
        <v>5</v>
      </c>
      <c r="M75" s="12">
        <v>5</v>
      </c>
      <c r="N75" s="12">
        <v>3</v>
      </c>
      <c r="O75" s="12">
        <v>5</v>
      </c>
      <c r="P75" s="12">
        <v>4</v>
      </c>
      <c r="Q75" s="12">
        <v>4</v>
      </c>
      <c r="R75" s="12">
        <v>5</v>
      </c>
      <c r="S75" s="12">
        <v>5</v>
      </c>
      <c r="T75" s="12">
        <v>5</v>
      </c>
      <c r="U75" s="12">
        <v>5</v>
      </c>
      <c r="V75" s="12">
        <v>5</v>
      </c>
      <c r="W75" s="12">
        <v>5</v>
      </c>
      <c r="X75" s="12">
        <v>3</v>
      </c>
      <c r="Y75" s="12">
        <v>4</v>
      </c>
      <c r="Z75" s="12">
        <v>3</v>
      </c>
      <c r="AA75" s="12">
        <v>4</v>
      </c>
      <c r="AB75" s="13">
        <f t="shared" si="13"/>
        <v>70</v>
      </c>
      <c r="AC75" s="14"/>
    </row>
    <row r="76" customFormat="1" ht="234" customHeight="1" spans="1:29">
      <c r="A76" s="23"/>
      <c r="B76" s="10" t="s">
        <v>289</v>
      </c>
      <c r="C76" s="11" t="s">
        <v>290</v>
      </c>
      <c r="D76" s="12">
        <v>5</v>
      </c>
      <c r="E76" s="12">
        <v>5</v>
      </c>
      <c r="F76" s="12">
        <v>4</v>
      </c>
      <c r="G76" s="12">
        <v>5</v>
      </c>
      <c r="H76" s="12">
        <v>5</v>
      </c>
      <c r="I76" s="12">
        <v>5</v>
      </c>
      <c r="J76" s="12">
        <v>5</v>
      </c>
      <c r="K76" s="13">
        <f t="shared" si="12"/>
        <v>34</v>
      </c>
      <c r="L76" s="12">
        <v>5</v>
      </c>
      <c r="M76" s="12">
        <v>5</v>
      </c>
      <c r="N76" s="12">
        <v>2</v>
      </c>
      <c r="O76" s="12">
        <v>5</v>
      </c>
      <c r="P76" s="12">
        <v>2</v>
      </c>
      <c r="Q76" s="12">
        <v>4</v>
      </c>
      <c r="R76" s="12">
        <v>4</v>
      </c>
      <c r="S76" s="12">
        <v>1</v>
      </c>
      <c r="T76" s="12">
        <v>5</v>
      </c>
      <c r="U76" s="12">
        <v>5</v>
      </c>
      <c r="V76" s="12">
        <v>4</v>
      </c>
      <c r="W76" s="12">
        <v>4</v>
      </c>
      <c r="X76" s="12">
        <v>2</v>
      </c>
      <c r="Y76" s="12">
        <v>4</v>
      </c>
      <c r="Z76" s="12">
        <v>3</v>
      </c>
      <c r="AA76" s="12">
        <v>3</v>
      </c>
      <c r="AB76" s="13">
        <f t="shared" si="13"/>
        <v>58</v>
      </c>
      <c r="AC76" s="14"/>
    </row>
    <row r="77" customFormat="1" ht="153" customHeight="1" spans="1:29">
      <c r="A77" s="23"/>
      <c r="B77" s="10" t="s">
        <v>291</v>
      </c>
      <c r="C77" s="11" t="s">
        <v>292</v>
      </c>
      <c r="D77" s="12">
        <v>5</v>
      </c>
      <c r="E77" s="12">
        <v>5</v>
      </c>
      <c r="F77" s="12">
        <v>4</v>
      </c>
      <c r="G77" s="12">
        <v>5</v>
      </c>
      <c r="H77" s="12">
        <v>5</v>
      </c>
      <c r="I77" s="12">
        <v>5</v>
      </c>
      <c r="J77" s="12">
        <v>5</v>
      </c>
      <c r="K77" s="13">
        <f t="shared" si="12"/>
        <v>34</v>
      </c>
      <c r="L77" s="12">
        <v>5</v>
      </c>
      <c r="M77" s="12">
        <v>5</v>
      </c>
      <c r="N77" s="12">
        <v>2</v>
      </c>
      <c r="O77" s="12">
        <v>4</v>
      </c>
      <c r="P77" s="12">
        <v>2</v>
      </c>
      <c r="Q77" s="12">
        <v>4</v>
      </c>
      <c r="R77" s="12">
        <v>4</v>
      </c>
      <c r="S77" s="12">
        <v>5</v>
      </c>
      <c r="T77" s="12">
        <v>5</v>
      </c>
      <c r="U77" s="12">
        <v>5</v>
      </c>
      <c r="V77" s="12">
        <v>5</v>
      </c>
      <c r="W77" s="12">
        <v>4</v>
      </c>
      <c r="X77" s="12">
        <v>3</v>
      </c>
      <c r="Y77" s="12">
        <v>4</v>
      </c>
      <c r="Z77" s="12">
        <v>3</v>
      </c>
      <c r="AA77" s="12">
        <v>4</v>
      </c>
      <c r="AB77" s="13">
        <f t="shared" si="13"/>
        <v>64</v>
      </c>
      <c r="AC77" s="14"/>
    </row>
    <row r="78" customFormat="1" ht="162" spans="1:29">
      <c r="A78" s="23"/>
      <c r="B78" s="10" t="s">
        <v>330</v>
      </c>
      <c r="C78" s="11" t="s">
        <v>331</v>
      </c>
      <c r="D78" s="12">
        <v>5</v>
      </c>
      <c r="E78" s="12">
        <v>5</v>
      </c>
      <c r="F78" s="12">
        <v>5</v>
      </c>
      <c r="G78" s="12">
        <v>5</v>
      </c>
      <c r="H78" s="12">
        <v>5</v>
      </c>
      <c r="I78" s="12">
        <v>5</v>
      </c>
      <c r="J78" s="12">
        <v>5</v>
      </c>
      <c r="K78" s="13">
        <f t="shared" si="12"/>
        <v>35</v>
      </c>
      <c r="L78" s="12">
        <v>5</v>
      </c>
      <c r="M78" s="12">
        <v>5</v>
      </c>
      <c r="N78" s="12">
        <v>4</v>
      </c>
      <c r="O78" s="12">
        <v>5</v>
      </c>
      <c r="P78" s="12">
        <v>2</v>
      </c>
      <c r="Q78" s="12">
        <v>4</v>
      </c>
      <c r="R78" s="12">
        <v>4</v>
      </c>
      <c r="S78" s="12">
        <v>1</v>
      </c>
      <c r="T78" s="12">
        <v>5</v>
      </c>
      <c r="U78" s="12">
        <v>5</v>
      </c>
      <c r="V78" s="12">
        <v>5</v>
      </c>
      <c r="W78" s="12">
        <v>4</v>
      </c>
      <c r="X78" s="12">
        <v>2</v>
      </c>
      <c r="Y78" s="12">
        <v>4</v>
      </c>
      <c r="Z78" s="12">
        <v>3</v>
      </c>
      <c r="AA78" s="12">
        <v>3</v>
      </c>
      <c r="AB78" s="13">
        <f t="shared" si="13"/>
        <v>61</v>
      </c>
      <c r="AC78" s="14"/>
    </row>
    <row r="79" ht="162" spans="1:29">
      <c r="A79" s="24"/>
      <c r="B79" s="10" t="s">
        <v>332</v>
      </c>
      <c r="C79" s="11" t="s">
        <v>333</v>
      </c>
      <c r="D79" s="12">
        <v>5</v>
      </c>
      <c r="E79" s="12">
        <v>5</v>
      </c>
      <c r="F79" s="12">
        <v>5</v>
      </c>
      <c r="G79" s="12">
        <v>5</v>
      </c>
      <c r="H79" s="12">
        <v>5</v>
      </c>
      <c r="I79" s="12">
        <v>5</v>
      </c>
      <c r="J79" s="12">
        <v>5</v>
      </c>
      <c r="K79" s="13">
        <f t="shared" si="12"/>
        <v>35</v>
      </c>
      <c r="L79" s="12">
        <v>5</v>
      </c>
      <c r="M79" s="12">
        <v>5</v>
      </c>
      <c r="N79" s="12">
        <v>4</v>
      </c>
      <c r="O79" s="12">
        <v>5</v>
      </c>
      <c r="P79" s="12">
        <v>2</v>
      </c>
      <c r="Q79" s="12">
        <v>4</v>
      </c>
      <c r="R79" s="12">
        <v>4</v>
      </c>
      <c r="S79" s="12">
        <v>1</v>
      </c>
      <c r="T79" s="12">
        <v>5</v>
      </c>
      <c r="U79" s="12">
        <v>5</v>
      </c>
      <c r="V79" s="12">
        <v>5</v>
      </c>
      <c r="W79" s="12">
        <v>4</v>
      </c>
      <c r="X79" s="12">
        <v>2</v>
      </c>
      <c r="Y79" s="12">
        <v>4</v>
      </c>
      <c r="Z79" s="12">
        <v>3</v>
      </c>
      <c r="AA79" s="12">
        <v>3</v>
      </c>
      <c r="AB79" s="13">
        <f t="shared" si="13"/>
        <v>61</v>
      </c>
      <c r="AC79" s="14"/>
    </row>
    <row r="80" customFormat="1" ht="135" spans="1:29">
      <c r="A80" s="23"/>
      <c r="B80" s="10" t="s">
        <v>334</v>
      </c>
      <c r="C80" s="11" t="s">
        <v>335</v>
      </c>
      <c r="D80" s="12">
        <v>5</v>
      </c>
      <c r="E80" s="12">
        <v>5</v>
      </c>
      <c r="F80" s="12">
        <v>5</v>
      </c>
      <c r="G80" s="12">
        <v>5</v>
      </c>
      <c r="H80" s="12">
        <v>5</v>
      </c>
      <c r="I80" s="12">
        <v>5</v>
      </c>
      <c r="J80" s="12">
        <v>5</v>
      </c>
      <c r="K80" s="13">
        <f t="shared" si="12"/>
        <v>35</v>
      </c>
      <c r="L80" s="12">
        <v>5</v>
      </c>
      <c r="M80" s="12">
        <v>5</v>
      </c>
      <c r="N80" s="12">
        <v>4</v>
      </c>
      <c r="O80" s="12">
        <v>5</v>
      </c>
      <c r="P80" s="12">
        <v>2</v>
      </c>
      <c r="Q80" s="12">
        <v>4</v>
      </c>
      <c r="R80" s="12">
        <v>4</v>
      </c>
      <c r="S80" s="12">
        <v>1</v>
      </c>
      <c r="T80" s="12">
        <v>5</v>
      </c>
      <c r="U80" s="12">
        <v>5</v>
      </c>
      <c r="V80" s="12">
        <v>5</v>
      </c>
      <c r="W80" s="12">
        <v>4</v>
      </c>
      <c r="X80" s="12">
        <v>2</v>
      </c>
      <c r="Y80" s="12">
        <v>4</v>
      </c>
      <c r="Z80" s="12">
        <v>3</v>
      </c>
      <c r="AA80" s="12">
        <v>3</v>
      </c>
      <c r="AB80" s="13">
        <f t="shared" si="13"/>
        <v>61</v>
      </c>
      <c r="AC80" s="14"/>
    </row>
    <row r="81" spans="4:28">
      <c r="D81">
        <f>AVERAGE(D70:D80)</f>
        <v>5</v>
      </c>
      <c r="E81">
        <f t="shared" ref="E81:AB81" si="14">AVERAGE(E70:E80)</f>
        <v>5</v>
      </c>
      <c r="F81">
        <f t="shared" si="14"/>
        <v>4.72727272727273</v>
      </c>
      <c r="G81">
        <f t="shared" si="14"/>
        <v>5</v>
      </c>
      <c r="H81">
        <f t="shared" si="14"/>
        <v>5</v>
      </c>
      <c r="I81">
        <f t="shared" si="14"/>
        <v>5</v>
      </c>
      <c r="J81">
        <f t="shared" si="14"/>
        <v>5</v>
      </c>
      <c r="K81">
        <f t="shared" si="14"/>
        <v>34.7272727272727</v>
      </c>
      <c r="L81">
        <f t="shared" si="14"/>
        <v>4.90909090909091</v>
      </c>
      <c r="M81">
        <f t="shared" si="14"/>
        <v>4.90909090909091</v>
      </c>
      <c r="N81">
        <f t="shared" si="14"/>
        <v>3</v>
      </c>
      <c r="O81">
        <f t="shared" si="14"/>
        <v>4.81818181818182</v>
      </c>
      <c r="P81">
        <f t="shared" si="14"/>
        <v>2.63636363636364</v>
      </c>
      <c r="Q81">
        <f t="shared" si="14"/>
        <v>4</v>
      </c>
      <c r="R81">
        <f t="shared" si="14"/>
        <v>4.18181818181818</v>
      </c>
      <c r="S81">
        <f t="shared" si="14"/>
        <v>2.81818181818182</v>
      </c>
      <c r="T81">
        <f t="shared" si="14"/>
        <v>4.90909090909091</v>
      </c>
      <c r="U81">
        <f t="shared" si="14"/>
        <v>4.81818181818182</v>
      </c>
      <c r="V81">
        <f t="shared" si="14"/>
        <v>4.90909090909091</v>
      </c>
      <c r="W81">
        <f t="shared" si="14"/>
        <v>4.18181818181818</v>
      </c>
      <c r="X81">
        <f t="shared" si="14"/>
        <v>2.54545454545455</v>
      </c>
      <c r="Y81">
        <f t="shared" si="14"/>
        <v>3.90909090909091</v>
      </c>
      <c r="Z81">
        <f t="shared" si="14"/>
        <v>3</v>
      </c>
      <c r="AA81">
        <f t="shared" si="14"/>
        <v>3.36363636363636</v>
      </c>
      <c r="AB81">
        <f t="shared" si="14"/>
        <v>62.9090909090909</v>
      </c>
    </row>
  </sheetData>
  <mergeCells count="8">
    <mergeCell ref="A1:AB1"/>
    <mergeCell ref="A3:A9"/>
    <mergeCell ref="A10:A12"/>
    <mergeCell ref="A15:A32"/>
    <mergeCell ref="A33:A39"/>
    <mergeCell ref="A42:A56"/>
    <mergeCell ref="A62:A64"/>
    <mergeCell ref="A65:A6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9"/>
  <sheetViews>
    <sheetView zoomScale="40" zoomScaleNormal="40" topLeftCell="A42" workbookViewId="0">
      <selection activeCell="AC42" sqref="AC$1:AC$1048576"/>
    </sheetView>
  </sheetViews>
  <sheetFormatPr defaultColWidth="9.02654867256637" defaultRowHeight="13.5"/>
  <cols>
    <col min="2" max="2" width="38.9026548672566" customWidth="1"/>
    <col min="3" max="3" width="43.283185840708" customWidth="1"/>
    <col min="4" max="6" width="12.7964601769912"/>
    <col min="9" max="14" width="12.7964601769912"/>
    <col min="16" max="18" width="12.7964601769912"/>
    <col min="21" max="28" width="12.7964601769912"/>
  </cols>
  <sheetData>
    <row r="1" s="1" customFormat="1" spans="1:29">
      <c r="A1" s="2" t="s">
        <v>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94.5" spans="1:29">
      <c r="A3" s="15" t="s">
        <v>394</v>
      </c>
      <c r="B3" s="10" t="s">
        <v>28</v>
      </c>
      <c r="C3" s="11" t="s">
        <v>29</v>
      </c>
      <c r="D3" s="12">
        <v>5</v>
      </c>
      <c r="E3" s="12">
        <v>5</v>
      </c>
      <c r="F3" s="12">
        <v>5</v>
      </c>
      <c r="G3" s="12">
        <v>4</v>
      </c>
      <c r="H3" s="12">
        <v>5</v>
      </c>
      <c r="I3" s="12">
        <v>5</v>
      </c>
      <c r="J3" s="12">
        <v>5</v>
      </c>
      <c r="K3" s="13">
        <f t="shared" ref="K3:K9" si="0">SUM(D3:J3)</f>
        <v>34</v>
      </c>
      <c r="L3" s="12">
        <v>5</v>
      </c>
      <c r="M3" s="12">
        <v>5</v>
      </c>
      <c r="N3" s="12">
        <v>3</v>
      </c>
      <c r="O3" s="12">
        <v>5</v>
      </c>
      <c r="P3" s="12">
        <v>1</v>
      </c>
      <c r="Q3" s="12">
        <v>4</v>
      </c>
      <c r="R3" s="12">
        <v>4</v>
      </c>
      <c r="S3" s="12">
        <v>5</v>
      </c>
      <c r="T3" s="12">
        <v>5</v>
      </c>
      <c r="U3" s="12">
        <v>5</v>
      </c>
      <c r="V3" s="12">
        <v>5</v>
      </c>
      <c r="W3" s="12">
        <v>2</v>
      </c>
      <c r="X3" s="12">
        <v>1</v>
      </c>
      <c r="Y3" s="12">
        <v>3</v>
      </c>
      <c r="Z3" s="12">
        <v>3</v>
      </c>
      <c r="AA3" s="12">
        <v>3</v>
      </c>
      <c r="AB3" s="13">
        <f t="shared" ref="AB3:AB9" si="1">SUM(L3:AA3)</f>
        <v>59</v>
      </c>
      <c r="AC3" s="14"/>
    </row>
    <row r="4" ht="94.5" spans="1:29">
      <c r="A4" s="15"/>
      <c r="B4" s="10" t="s">
        <v>31</v>
      </c>
      <c r="C4" s="11" t="s">
        <v>32</v>
      </c>
      <c r="D4" s="12">
        <v>4</v>
      </c>
      <c r="E4" s="12">
        <v>5</v>
      </c>
      <c r="F4" s="12">
        <v>5</v>
      </c>
      <c r="G4" s="12">
        <v>4</v>
      </c>
      <c r="H4" s="12">
        <v>5</v>
      </c>
      <c r="I4" s="12">
        <v>5</v>
      </c>
      <c r="J4" s="12">
        <v>5</v>
      </c>
      <c r="K4" s="13">
        <f t="shared" si="0"/>
        <v>33</v>
      </c>
      <c r="L4" s="12">
        <v>5</v>
      </c>
      <c r="M4" s="12">
        <v>4</v>
      </c>
      <c r="N4" s="12">
        <v>3</v>
      </c>
      <c r="O4" s="12">
        <v>5</v>
      </c>
      <c r="P4" s="12">
        <v>1</v>
      </c>
      <c r="Q4" s="12">
        <v>4</v>
      </c>
      <c r="R4" s="12">
        <v>4</v>
      </c>
      <c r="S4" s="12">
        <v>3</v>
      </c>
      <c r="T4" s="12">
        <v>5</v>
      </c>
      <c r="U4" s="12">
        <v>5</v>
      </c>
      <c r="V4" s="12">
        <v>5</v>
      </c>
      <c r="W4" s="12">
        <v>2</v>
      </c>
      <c r="X4" s="12">
        <v>1</v>
      </c>
      <c r="Y4" s="12">
        <v>2</v>
      </c>
      <c r="Z4" s="12">
        <v>3</v>
      </c>
      <c r="AA4" s="12">
        <v>2</v>
      </c>
      <c r="AB4" s="13">
        <f t="shared" si="1"/>
        <v>54</v>
      </c>
      <c r="AC4" s="14"/>
    </row>
    <row r="5" ht="108" customHeight="1" spans="1:29">
      <c r="A5" s="15"/>
      <c r="B5" s="10" t="s">
        <v>33</v>
      </c>
      <c r="C5" s="11" t="s">
        <v>34</v>
      </c>
      <c r="D5" s="12">
        <v>5</v>
      </c>
      <c r="E5" s="12">
        <v>5</v>
      </c>
      <c r="F5" s="12">
        <v>5</v>
      </c>
      <c r="G5" s="12">
        <v>4</v>
      </c>
      <c r="H5" s="12">
        <v>5</v>
      </c>
      <c r="I5" s="12">
        <v>5</v>
      </c>
      <c r="J5" s="12">
        <v>5</v>
      </c>
      <c r="K5" s="13">
        <f t="shared" si="0"/>
        <v>34</v>
      </c>
      <c r="L5" s="12">
        <v>5</v>
      </c>
      <c r="M5" s="12">
        <v>5</v>
      </c>
      <c r="N5" s="12">
        <v>3</v>
      </c>
      <c r="O5" s="12">
        <v>5</v>
      </c>
      <c r="P5" s="12">
        <v>1</v>
      </c>
      <c r="Q5" s="12">
        <v>4</v>
      </c>
      <c r="R5" s="12">
        <v>3</v>
      </c>
      <c r="S5" s="12">
        <v>5</v>
      </c>
      <c r="T5" s="12">
        <v>5</v>
      </c>
      <c r="U5" s="12">
        <v>5</v>
      </c>
      <c r="V5" s="12">
        <v>5</v>
      </c>
      <c r="W5" s="12">
        <v>2</v>
      </c>
      <c r="X5" s="12">
        <v>1</v>
      </c>
      <c r="Y5" s="12">
        <v>3</v>
      </c>
      <c r="Z5" s="12">
        <v>3</v>
      </c>
      <c r="AA5" s="12">
        <v>3</v>
      </c>
      <c r="AB5" s="13">
        <f t="shared" si="1"/>
        <v>58</v>
      </c>
      <c r="AC5" s="14"/>
    </row>
    <row r="6" ht="94.5" spans="1:29">
      <c r="A6" s="15"/>
      <c r="B6" s="10" t="s">
        <v>35</v>
      </c>
      <c r="C6" s="11" t="s">
        <v>36</v>
      </c>
      <c r="D6" s="12">
        <v>5</v>
      </c>
      <c r="E6" s="12">
        <v>5</v>
      </c>
      <c r="F6" s="12">
        <v>5</v>
      </c>
      <c r="G6" s="12">
        <v>4</v>
      </c>
      <c r="H6" s="12">
        <v>5</v>
      </c>
      <c r="I6" s="12">
        <v>5</v>
      </c>
      <c r="J6" s="12">
        <v>5</v>
      </c>
      <c r="K6" s="13">
        <f t="shared" si="0"/>
        <v>34</v>
      </c>
      <c r="L6" s="12">
        <v>5</v>
      </c>
      <c r="M6" s="12">
        <v>5</v>
      </c>
      <c r="N6" s="12">
        <v>3</v>
      </c>
      <c r="O6" s="12">
        <v>5</v>
      </c>
      <c r="P6" s="12">
        <v>1</v>
      </c>
      <c r="Q6" s="12">
        <v>4</v>
      </c>
      <c r="R6" s="12">
        <v>4</v>
      </c>
      <c r="S6" s="12">
        <v>5</v>
      </c>
      <c r="T6" s="12">
        <v>5</v>
      </c>
      <c r="U6" s="12">
        <v>5</v>
      </c>
      <c r="V6" s="12">
        <v>5</v>
      </c>
      <c r="W6" s="12">
        <v>1</v>
      </c>
      <c r="X6" s="12">
        <v>1</v>
      </c>
      <c r="Y6" s="12">
        <v>3</v>
      </c>
      <c r="Z6" s="12">
        <v>3</v>
      </c>
      <c r="AA6" s="12">
        <v>3</v>
      </c>
      <c r="AB6" s="13">
        <f t="shared" si="1"/>
        <v>58</v>
      </c>
      <c r="AC6" s="14"/>
    </row>
    <row r="7" ht="94.5" spans="1:29">
      <c r="A7" s="15"/>
      <c r="B7" s="10" t="s">
        <v>37</v>
      </c>
      <c r="C7" s="11" t="s">
        <v>38</v>
      </c>
      <c r="D7" s="12">
        <v>5</v>
      </c>
      <c r="E7" s="12">
        <v>5</v>
      </c>
      <c r="F7" s="12">
        <v>5</v>
      </c>
      <c r="G7" s="12">
        <v>4</v>
      </c>
      <c r="H7" s="12">
        <v>5</v>
      </c>
      <c r="I7" s="12">
        <v>5</v>
      </c>
      <c r="J7" s="12">
        <v>5</v>
      </c>
      <c r="K7" s="13">
        <f t="shared" si="0"/>
        <v>34</v>
      </c>
      <c r="L7" s="12">
        <v>5</v>
      </c>
      <c r="M7" s="12">
        <v>5</v>
      </c>
      <c r="N7" s="12">
        <v>3</v>
      </c>
      <c r="O7" s="12">
        <v>5</v>
      </c>
      <c r="P7" s="12">
        <v>1</v>
      </c>
      <c r="Q7" s="12">
        <v>4</v>
      </c>
      <c r="R7" s="12">
        <v>4</v>
      </c>
      <c r="S7" s="12">
        <v>5</v>
      </c>
      <c r="T7" s="12">
        <v>5</v>
      </c>
      <c r="U7" s="12">
        <v>5</v>
      </c>
      <c r="V7" s="12">
        <v>5</v>
      </c>
      <c r="W7" s="12">
        <v>1</v>
      </c>
      <c r="X7" s="12">
        <v>1</v>
      </c>
      <c r="Y7" s="12">
        <v>3</v>
      </c>
      <c r="Z7" s="12">
        <v>3</v>
      </c>
      <c r="AA7" s="12">
        <v>3</v>
      </c>
      <c r="AB7" s="13">
        <f t="shared" si="1"/>
        <v>58</v>
      </c>
      <c r="AC7" s="14"/>
    </row>
    <row r="8" ht="108" customHeight="1" spans="1:29">
      <c r="A8" s="15"/>
      <c r="B8" s="10" t="s">
        <v>40</v>
      </c>
      <c r="C8" s="11" t="s">
        <v>41</v>
      </c>
      <c r="D8" s="12">
        <v>5</v>
      </c>
      <c r="E8" s="12">
        <v>5</v>
      </c>
      <c r="F8" s="12">
        <v>5</v>
      </c>
      <c r="G8" s="12">
        <v>4</v>
      </c>
      <c r="H8" s="12">
        <v>4</v>
      </c>
      <c r="I8" s="12">
        <v>4</v>
      </c>
      <c r="J8" s="12">
        <v>4</v>
      </c>
      <c r="K8" s="13">
        <f t="shared" si="0"/>
        <v>31</v>
      </c>
      <c r="L8" s="12">
        <v>5</v>
      </c>
      <c r="M8" s="12">
        <v>5</v>
      </c>
      <c r="N8" s="12">
        <v>3</v>
      </c>
      <c r="O8" s="12">
        <v>5</v>
      </c>
      <c r="P8" s="12">
        <v>1</v>
      </c>
      <c r="Q8" s="12">
        <v>4</v>
      </c>
      <c r="R8" s="12">
        <v>4</v>
      </c>
      <c r="S8" s="12">
        <v>5</v>
      </c>
      <c r="T8" s="12">
        <v>5</v>
      </c>
      <c r="U8" s="12">
        <v>5</v>
      </c>
      <c r="V8" s="12">
        <v>5</v>
      </c>
      <c r="W8" s="12">
        <v>1</v>
      </c>
      <c r="X8" s="12">
        <v>1</v>
      </c>
      <c r="Y8" s="12">
        <v>2</v>
      </c>
      <c r="Z8" s="12">
        <v>3</v>
      </c>
      <c r="AA8" s="12">
        <v>2</v>
      </c>
      <c r="AB8" s="13">
        <f t="shared" si="1"/>
        <v>56</v>
      </c>
      <c r="AC8" s="13"/>
    </row>
    <row r="9" ht="94.5" spans="1:29">
      <c r="A9" s="15"/>
      <c r="B9" s="10" t="s">
        <v>42</v>
      </c>
      <c r="C9" s="11" t="s">
        <v>43</v>
      </c>
      <c r="D9" s="12">
        <v>5</v>
      </c>
      <c r="E9" s="12">
        <v>5</v>
      </c>
      <c r="F9" s="12">
        <v>5</v>
      </c>
      <c r="G9" s="12">
        <v>4</v>
      </c>
      <c r="H9" s="12">
        <v>5</v>
      </c>
      <c r="I9" s="12">
        <v>5</v>
      </c>
      <c r="J9" s="12">
        <v>5</v>
      </c>
      <c r="K9" s="13">
        <f t="shared" si="0"/>
        <v>34</v>
      </c>
      <c r="L9" s="12">
        <v>5</v>
      </c>
      <c r="M9" s="12">
        <v>5</v>
      </c>
      <c r="N9" s="12">
        <v>3</v>
      </c>
      <c r="O9" s="12">
        <v>5</v>
      </c>
      <c r="P9" s="12">
        <v>1</v>
      </c>
      <c r="Q9" s="12">
        <v>3</v>
      </c>
      <c r="R9" s="12">
        <v>3</v>
      </c>
      <c r="S9" s="12">
        <v>5</v>
      </c>
      <c r="T9" s="12">
        <v>5</v>
      </c>
      <c r="U9" s="12">
        <v>5</v>
      </c>
      <c r="V9" s="12">
        <v>5</v>
      </c>
      <c r="W9" s="12">
        <v>2</v>
      </c>
      <c r="X9" s="12">
        <v>1</v>
      </c>
      <c r="Y9" s="12">
        <v>3</v>
      </c>
      <c r="Z9" s="12">
        <v>3</v>
      </c>
      <c r="AA9" s="12">
        <v>3</v>
      </c>
      <c r="AB9" s="13">
        <f t="shared" si="1"/>
        <v>57</v>
      </c>
      <c r="AC9" s="14"/>
    </row>
    <row r="10" spans="1:29">
      <c r="D10">
        <f>AVERAGE(D3:D9)</f>
        <v>4.85714285714286</v>
      </c>
      <c r="E10">
        <f t="shared" ref="E10:AB10" si="2">AVERAGE(E3:E9)</f>
        <v>5</v>
      </c>
      <c r="F10">
        <f t="shared" si="2"/>
        <v>5</v>
      </c>
      <c r="G10">
        <f t="shared" si="2"/>
        <v>4</v>
      </c>
      <c r="H10">
        <f t="shared" si="2"/>
        <v>4.85714285714286</v>
      </c>
      <c r="I10">
        <f t="shared" si="2"/>
        <v>4.85714285714286</v>
      </c>
      <c r="J10">
        <f t="shared" si="2"/>
        <v>4.85714285714286</v>
      </c>
      <c r="K10">
        <f t="shared" si="2"/>
        <v>33.4285714285714</v>
      </c>
      <c r="L10">
        <f t="shared" si="2"/>
        <v>5</v>
      </c>
      <c r="M10">
        <f t="shared" si="2"/>
        <v>4.85714285714286</v>
      </c>
      <c r="N10">
        <f t="shared" si="2"/>
        <v>3</v>
      </c>
      <c r="O10">
        <f t="shared" si="2"/>
        <v>5</v>
      </c>
      <c r="P10">
        <f t="shared" si="2"/>
        <v>1</v>
      </c>
      <c r="Q10">
        <f t="shared" si="2"/>
        <v>3.85714285714286</v>
      </c>
      <c r="R10">
        <f t="shared" si="2"/>
        <v>3.71428571428571</v>
      </c>
      <c r="S10">
        <f t="shared" si="2"/>
        <v>4.71428571428571</v>
      </c>
      <c r="T10">
        <f t="shared" si="2"/>
        <v>5</v>
      </c>
      <c r="U10">
        <f t="shared" si="2"/>
        <v>5</v>
      </c>
      <c r="V10">
        <f t="shared" si="2"/>
        <v>5</v>
      </c>
      <c r="W10">
        <f t="shared" si="2"/>
        <v>1.57142857142857</v>
      </c>
      <c r="X10">
        <f t="shared" si="2"/>
        <v>1</v>
      </c>
      <c r="Y10">
        <f t="shared" si="2"/>
        <v>2.71428571428571</v>
      </c>
      <c r="Z10">
        <f t="shared" si="2"/>
        <v>3</v>
      </c>
      <c r="AA10">
        <f t="shared" si="2"/>
        <v>2.71428571428571</v>
      </c>
      <c r="AB10">
        <f t="shared" si="2"/>
        <v>57.1428571428571</v>
      </c>
    </row>
    <row r="12" ht="148.5" spans="1:29">
      <c r="A12" s="22" t="s">
        <v>395</v>
      </c>
      <c r="B12" s="10" t="s">
        <v>118</v>
      </c>
      <c r="C12" s="11" t="s">
        <v>119</v>
      </c>
      <c r="D12" s="12">
        <v>5</v>
      </c>
      <c r="E12" s="12">
        <v>5</v>
      </c>
      <c r="F12" s="12">
        <v>5</v>
      </c>
      <c r="G12" s="12">
        <v>5</v>
      </c>
      <c r="H12" s="12">
        <v>5</v>
      </c>
      <c r="I12" s="12">
        <v>5</v>
      </c>
      <c r="J12" s="12">
        <v>5</v>
      </c>
      <c r="K12" s="13">
        <f t="shared" ref="K12:K22" si="3">SUM(D12:J12)</f>
        <v>35</v>
      </c>
      <c r="L12" s="12">
        <v>5</v>
      </c>
      <c r="M12" s="12">
        <v>5</v>
      </c>
      <c r="N12" s="12">
        <v>3</v>
      </c>
      <c r="O12" s="12">
        <v>5</v>
      </c>
      <c r="P12" s="12">
        <v>2</v>
      </c>
      <c r="Q12" s="12">
        <v>4</v>
      </c>
      <c r="R12" s="12">
        <v>4</v>
      </c>
      <c r="S12" s="12">
        <v>5</v>
      </c>
      <c r="T12" s="12">
        <v>5</v>
      </c>
      <c r="U12" s="12">
        <v>5</v>
      </c>
      <c r="V12" s="12">
        <v>5</v>
      </c>
      <c r="W12" s="12">
        <v>4</v>
      </c>
      <c r="X12" s="12">
        <v>2</v>
      </c>
      <c r="Y12" s="12">
        <v>5</v>
      </c>
      <c r="Z12" s="12">
        <v>3</v>
      </c>
      <c r="AA12" s="12">
        <v>4</v>
      </c>
      <c r="AB12" s="13">
        <f t="shared" ref="AB12:AB22" si="4">SUM(L12:AA12)</f>
        <v>66</v>
      </c>
      <c r="AC12" s="14"/>
    </row>
    <row r="13" ht="283.5" spans="1:29">
      <c r="A13" s="22"/>
      <c r="B13" s="10" t="s">
        <v>120</v>
      </c>
      <c r="C13" s="11" t="s">
        <v>121</v>
      </c>
      <c r="D13" s="12">
        <v>5</v>
      </c>
      <c r="E13" s="12">
        <v>5</v>
      </c>
      <c r="F13" s="12">
        <v>5</v>
      </c>
      <c r="G13" s="12">
        <v>5</v>
      </c>
      <c r="H13" s="12">
        <v>5</v>
      </c>
      <c r="I13" s="12">
        <v>5</v>
      </c>
      <c r="J13" s="12">
        <v>5</v>
      </c>
      <c r="K13" s="13">
        <f t="shared" si="3"/>
        <v>35</v>
      </c>
      <c r="L13" s="12">
        <v>5</v>
      </c>
      <c r="M13" s="12">
        <v>5</v>
      </c>
      <c r="N13" s="12">
        <v>3</v>
      </c>
      <c r="O13" s="12">
        <v>5</v>
      </c>
      <c r="P13" s="12">
        <v>2</v>
      </c>
      <c r="Q13" s="12">
        <v>4</v>
      </c>
      <c r="R13" s="12">
        <v>4</v>
      </c>
      <c r="S13" s="12">
        <v>5</v>
      </c>
      <c r="T13" s="12">
        <v>5</v>
      </c>
      <c r="U13" s="12">
        <v>5</v>
      </c>
      <c r="V13" s="12">
        <v>5</v>
      </c>
      <c r="W13" s="12">
        <v>4</v>
      </c>
      <c r="X13" s="12">
        <v>2</v>
      </c>
      <c r="Y13" s="12">
        <v>4</v>
      </c>
      <c r="Z13" s="12">
        <v>3</v>
      </c>
      <c r="AA13" s="12">
        <v>4</v>
      </c>
      <c r="AB13" s="13">
        <f t="shared" si="4"/>
        <v>65</v>
      </c>
      <c r="AC13" s="14"/>
    </row>
    <row r="14" ht="324" spans="1:29">
      <c r="A14" s="22"/>
      <c r="B14" s="10" t="s">
        <v>122</v>
      </c>
      <c r="C14" s="11" t="s">
        <v>123</v>
      </c>
      <c r="D14" s="12">
        <v>5</v>
      </c>
      <c r="E14" s="12">
        <v>5</v>
      </c>
      <c r="F14" s="12">
        <v>5</v>
      </c>
      <c r="G14" s="12">
        <v>5</v>
      </c>
      <c r="H14" s="12">
        <v>5</v>
      </c>
      <c r="I14" s="12">
        <v>5</v>
      </c>
      <c r="J14" s="12">
        <v>5</v>
      </c>
      <c r="K14" s="13">
        <f t="shared" si="3"/>
        <v>35</v>
      </c>
      <c r="L14" s="12">
        <v>5</v>
      </c>
      <c r="M14" s="12">
        <v>5</v>
      </c>
      <c r="N14" s="12">
        <v>3</v>
      </c>
      <c r="O14" s="12">
        <v>5</v>
      </c>
      <c r="P14" s="12">
        <v>2</v>
      </c>
      <c r="Q14" s="12">
        <v>4</v>
      </c>
      <c r="R14" s="12">
        <v>4</v>
      </c>
      <c r="S14" s="12">
        <v>5</v>
      </c>
      <c r="T14" s="12">
        <v>5</v>
      </c>
      <c r="U14" s="12">
        <v>5</v>
      </c>
      <c r="V14" s="12">
        <v>5</v>
      </c>
      <c r="W14" s="12">
        <v>4</v>
      </c>
      <c r="X14" s="12">
        <v>2</v>
      </c>
      <c r="Y14" s="12">
        <v>4</v>
      </c>
      <c r="Z14" s="12">
        <v>3</v>
      </c>
      <c r="AA14" s="12">
        <v>4</v>
      </c>
      <c r="AB14" s="13">
        <f t="shared" si="4"/>
        <v>65</v>
      </c>
      <c r="AC14" s="14"/>
    </row>
    <row r="15" ht="121" customHeight="1" spans="1:29">
      <c r="A15" s="22"/>
      <c r="B15" s="10" t="s">
        <v>124</v>
      </c>
      <c r="C15" s="11" t="s">
        <v>125</v>
      </c>
      <c r="D15" s="12">
        <v>5</v>
      </c>
      <c r="E15" s="12">
        <v>5</v>
      </c>
      <c r="F15" s="12">
        <v>5</v>
      </c>
      <c r="G15" s="12">
        <v>5</v>
      </c>
      <c r="H15" s="12">
        <v>5</v>
      </c>
      <c r="I15" s="12">
        <v>5</v>
      </c>
      <c r="J15" s="12">
        <v>5</v>
      </c>
      <c r="K15" s="13">
        <f t="shared" si="3"/>
        <v>35</v>
      </c>
      <c r="L15" s="12">
        <v>5</v>
      </c>
      <c r="M15" s="12">
        <v>5</v>
      </c>
      <c r="N15" s="12">
        <v>3</v>
      </c>
      <c r="O15" s="12">
        <v>5</v>
      </c>
      <c r="P15" s="12">
        <v>3</v>
      </c>
      <c r="Q15" s="12">
        <v>4</v>
      </c>
      <c r="R15" s="12">
        <v>4</v>
      </c>
      <c r="S15" s="12">
        <v>5</v>
      </c>
      <c r="T15" s="12">
        <v>5</v>
      </c>
      <c r="U15" s="12">
        <v>5</v>
      </c>
      <c r="V15" s="12">
        <v>5</v>
      </c>
      <c r="W15" s="12">
        <v>4</v>
      </c>
      <c r="X15" s="12">
        <v>3</v>
      </c>
      <c r="Y15" s="12">
        <v>4</v>
      </c>
      <c r="Z15" s="12">
        <v>3</v>
      </c>
      <c r="AA15" s="12">
        <v>4</v>
      </c>
      <c r="AB15" s="13">
        <f t="shared" si="4"/>
        <v>67</v>
      </c>
      <c r="AC15" s="14"/>
    </row>
    <row r="16" ht="168" customHeight="1" spans="1:29">
      <c r="A16" s="22"/>
      <c r="B16" s="10" t="s">
        <v>126</v>
      </c>
      <c r="C16" s="11" t="s">
        <v>127</v>
      </c>
      <c r="D16" s="12">
        <v>5</v>
      </c>
      <c r="E16" s="12">
        <v>5</v>
      </c>
      <c r="F16" s="12">
        <v>5</v>
      </c>
      <c r="G16" s="12">
        <v>5</v>
      </c>
      <c r="H16" s="12">
        <v>5</v>
      </c>
      <c r="I16" s="12">
        <v>5</v>
      </c>
      <c r="J16" s="12">
        <v>5</v>
      </c>
      <c r="K16" s="13">
        <f t="shared" si="3"/>
        <v>35</v>
      </c>
      <c r="L16" s="12">
        <v>5</v>
      </c>
      <c r="M16" s="12">
        <v>5</v>
      </c>
      <c r="N16" s="12">
        <v>2</v>
      </c>
      <c r="O16" s="12">
        <v>5</v>
      </c>
      <c r="P16" s="12">
        <v>2</v>
      </c>
      <c r="Q16" s="12">
        <v>4</v>
      </c>
      <c r="R16" s="12">
        <v>4</v>
      </c>
      <c r="S16" s="12">
        <v>5</v>
      </c>
      <c r="T16" s="12">
        <v>5</v>
      </c>
      <c r="U16" s="12">
        <v>5</v>
      </c>
      <c r="V16" s="12">
        <v>5</v>
      </c>
      <c r="W16" s="12">
        <v>4</v>
      </c>
      <c r="X16" s="12">
        <v>3</v>
      </c>
      <c r="Y16" s="12">
        <v>3</v>
      </c>
      <c r="Z16" s="12">
        <v>3</v>
      </c>
      <c r="AA16" s="12">
        <v>3</v>
      </c>
      <c r="AB16" s="13">
        <f t="shared" si="4"/>
        <v>63</v>
      </c>
      <c r="AC16" s="14"/>
    </row>
    <row r="17" ht="135" spans="1:29">
      <c r="A17" s="22"/>
      <c r="B17" s="10" t="s">
        <v>128</v>
      </c>
      <c r="C17" s="11" t="s">
        <v>129</v>
      </c>
      <c r="D17" s="12">
        <v>5</v>
      </c>
      <c r="E17" s="12">
        <v>5</v>
      </c>
      <c r="F17" s="12">
        <v>5</v>
      </c>
      <c r="G17" s="12">
        <v>5</v>
      </c>
      <c r="H17" s="12">
        <v>5</v>
      </c>
      <c r="I17" s="12">
        <v>5</v>
      </c>
      <c r="J17" s="12">
        <v>5</v>
      </c>
      <c r="K17" s="13">
        <f t="shared" si="3"/>
        <v>35</v>
      </c>
      <c r="L17" s="12">
        <v>5</v>
      </c>
      <c r="M17" s="12">
        <v>3</v>
      </c>
      <c r="N17" s="12">
        <v>3</v>
      </c>
      <c r="O17" s="12">
        <v>5</v>
      </c>
      <c r="P17" s="12">
        <v>1</v>
      </c>
      <c r="Q17" s="12">
        <v>4</v>
      </c>
      <c r="R17" s="12">
        <v>4</v>
      </c>
      <c r="S17" s="12">
        <v>5</v>
      </c>
      <c r="T17" s="12">
        <v>5</v>
      </c>
      <c r="U17" s="12">
        <v>5</v>
      </c>
      <c r="V17" s="12">
        <v>5</v>
      </c>
      <c r="W17" s="12">
        <v>4</v>
      </c>
      <c r="X17" s="12">
        <v>3</v>
      </c>
      <c r="Y17" s="12">
        <v>3</v>
      </c>
      <c r="Z17" s="12">
        <v>3</v>
      </c>
      <c r="AA17" s="12">
        <v>3</v>
      </c>
      <c r="AB17" s="13">
        <f t="shared" si="4"/>
        <v>61</v>
      </c>
      <c r="AC17" s="14"/>
    </row>
    <row r="18" ht="121.5" spans="1:29">
      <c r="A18" s="22"/>
      <c r="B18" s="10" t="s">
        <v>130</v>
      </c>
      <c r="C18" s="11" t="s">
        <v>131</v>
      </c>
      <c r="D18" s="12">
        <v>5</v>
      </c>
      <c r="E18" s="12">
        <v>5</v>
      </c>
      <c r="F18" s="12">
        <v>5</v>
      </c>
      <c r="G18" s="12">
        <v>5</v>
      </c>
      <c r="H18" s="12">
        <v>5</v>
      </c>
      <c r="I18" s="12">
        <v>5</v>
      </c>
      <c r="J18" s="12">
        <v>5</v>
      </c>
      <c r="K18" s="13">
        <f t="shared" si="3"/>
        <v>35</v>
      </c>
      <c r="L18" s="12">
        <v>5</v>
      </c>
      <c r="M18" s="12">
        <v>5</v>
      </c>
      <c r="N18" s="12">
        <v>2</v>
      </c>
      <c r="O18" s="12">
        <v>5</v>
      </c>
      <c r="P18" s="12">
        <v>2</v>
      </c>
      <c r="Q18" s="12">
        <v>4</v>
      </c>
      <c r="R18" s="12">
        <v>4</v>
      </c>
      <c r="S18" s="12">
        <v>5</v>
      </c>
      <c r="T18" s="12">
        <v>5</v>
      </c>
      <c r="U18" s="12">
        <v>5</v>
      </c>
      <c r="V18" s="12">
        <v>5</v>
      </c>
      <c r="W18" s="12">
        <v>4</v>
      </c>
      <c r="X18" s="12">
        <v>2</v>
      </c>
      <c r="Y18" s="12">
        <v>3</v>
      </c>
      <c r="Z18" s="12">
        <v>3</v>
      </c>
      <c r="AA18" s="12">
        <v>3</v>
      </c>
      <c r="AB18" s="13">
        <f t="shared" si="4"/>
        <v>62</v>
      </c>
      <c r="AC18" s="13"/>
    </row>
    <row r="19" customFormat="1" ht="162" spans="1:29">
      <c r="A19" s="23"/>
      <c r="B19" s="10" t="s">
        <v>132</v>
      </c>
      <c r="C19" s="11" t="s">
        <v>133</v>
      </c>
      <c r="D19" s="12">
        <v>5</v>
      </c>
      <c r="E19" s="12">
        <v>5</v>
      </c>
      <c r="F19" s="12">
        <v>5</v>
      </c>
      <c r="G19" s="12">
        <v>5</v>
      </c>
      <c r="H19" s="12">
        <v>5</v>
      </c>
      <c r="I19" s="12">
        <v>5</v>
      </c>
      <c r="J19" s="12">
        <v>5</v>
      </c>
      <c r="K19" s="13">
        <f t="shared" si="3"/>
        <v>35</v>
      </c>
      <c r="L19" s="12">
        <v>5</v>
      </c>
      <c r="M19" s="12">
        <v>5</v>
      </c>
      <c r="N19" s="12">
        <v>2</v>
      </c>
      <c r="O19" s="12">
        <v>5</v>
      </c>
      <c r="P19" s="12">
        <v>2</v>
      </c>
      <c r="Q19" s="12">
        <v>4</v>
      </c>
      <c r="R19" s="12">
        <v>4</v>
      </c>
      <c r="S19" s="12">
        <v>5</v>
      </c>
      <c r="T19" s="12">
        <v>5</v>
      </c>
      <c r="U19" s="12">
        <v>5</v>
      </c>
      <c r="V19" s="12">
        <v>5</v>
      </c>
      <c r="W19" s="12">
        <v>4</v>
      </c>
      <c r="X19" s="12">
        <v>1</v>
      </c>
      <c r="Y19" s="12">
        <v>3</v>
      </c>
      <c r="Z19" s="12">
        <v>3</v>
      </c>
      <c r="AA19" s="12">
        <v>3</v>
      </c>
      <c r="AB19" s="13">
        <f t="shared" si="4"/>
        <v>61</v>
      </c>
      <c r="AC19" s="14"/>
    </row>
    <row r="20" ht="162" spans="1:29">
      <c r="A20" s="15"/>
      <c r="B20" s="10" t="s">
        <v>111</v>
      </c>
      <c r="C20" s="11" t="s">
        <v>112</v>
      </c>
      <c r="D20" s="12">
        <v>5</v>
      </c>
      <c r="E20" s="12">
        <v>5</v>
      </c>
      <c r="F20" s="12">
        <v>5</v>
      </c>
      <c r="G20" s="12">
        <v>5</v>
      </c>
      <c r="H20" s="12">
        <v>5</v>
      </c>
      <c r="I20" s="12">
        <v>5</v>
      </c>
      <c r="J20" s="12">
        <v>4</v>
      </c>
      <c r="K20" s="13">
        <f t="shared" si="3"/>
        <v>34</v>
      </c>
      <c r="L20" s="12">
        <v>5</v>
      </c>
      <c r="M20" s="12">
        <v>5</v>
      </c>
      <c r="N20" s="12">
        <v>2</v>
      </c>
      <c r="O20" s="12">
        <v>5</v>
      </c>
      <c r="P20" s="12">
        <v>2</v>
      </c>
      <c r="Q20" s="12">
        <v>5</v>
      </c>
      <c r="R20" s="12">
        <v>4</v>
      </c>
      <c r="S20" s="12">
        <v>5</v>
      </c>
      <c r="T20" s="12">
        <v>5</v>
      </c>
      <c r="U20" s="12">
        <v>5</v>
      </c>
      <c r="V20" s="12">
        <v>5</v>
      </c>
      <c r="W20" s="12">
        <v>4</v>
      </c>
      <c r="X20" s="12">
        <v>2</v>
      </c>
      <c r="Y20" s="12">
        <v>3</v>
      </c>
      <c r="Z20" s="12">
        <v>3</v>
      </c>
      <c r="AA20" s="12">
        <v>5</v>
      </c>
      <c r="AB20" s="13">
        <f t="shared" si="4"/>
        <v>65</v>
      </c>
      <c r="AC20" s="14"/>
    </row>
    <row r="21" ht="175.5" spans="1:29">
      <c r="A21" s="15"/>
      <c r="B21" s="10" t="s">
        <v>113</v>
      </c>
      <c r="C21" s="11" t="s">
        <v>114</v>
      </c>
      <c r="D21" s="12">
        <v>5</v>
      </c>
      <c r="E21" s="12">
        <v>5</v>
      </c>
      <c r="F21" s="12">
        <v>5</v>
      </c>
      <c r="G21" s="12">
        <v>5</v>
      </c>
      <c r="H21" s="12">
        <v>5</v>
      </c>
      <c r="I21" s="12">
        <v>5</v>
      </c>
      <c r="J21" s="12">
        <v>5</v>
      </c>
      <c r="K21" s="13">
        <f t="shared" si="3"/>
        <v>35</v>
      </c>
      <c r="L21" s="12">
        <v>5</v>
      </c>
      <c r="M21" s="12">
        <v>5</v>
      </c>
      <c r="N21" s="12">
        <v>2</v>
      </c>
      <c r="O21" s="12">
        <v>5</v>
      </c>
      <c r="P21" s="12">
        <v>2</v>
      </c>
      <c r="Q21" s="12">
        <v>5</v>
      </c>
      <c r="R21" s="12">
        <v>4</v>
      </c>
      <c r="S21" s="12">
        <v>5</v>
      </c>
      <c r="T21" s="12">
        <v>5</v>
      </c>
      <c r="U21" s="12">
        <v>5</v>
      </c>
      <c r="V21" s="12">
        <v>5</v>
      </c>
      <c r="W21" s="12">
        <v>4</v>
      </c>
      <c r="X21" s="12">
        <v>2</v>
      </c>
      <c r="Y21" s="12">
        <v>3</v>
      </c>
      <c r="Z21" s="12">
        <v>3</v>
      </c>
      <c r="AA21" s="12">
        <v>5</v>
      </c>
      <c r="AB21" s="13">
        <f t="shared" si="4"/>
        <v>65</v>
      </c>
      <c r="AC21" s="14"/>
    </row>
    <row r="22" ht="256.5" spans="1:29">
      <c r="A22" s="21"/>
      <c r="B22" s="10" t="s">
        <v>115</v>
      </c>
      <c r="C22" s="11" t="s">
        <v>116</v>
      </c>
      <c r="D22" s="12">
        <v>5</v>
      </c>
      <c r="E22" s="12">
        <v>5</v>
      </c>
      <c r="F22" s="12">
        <v>5</v>
      </c>
      <c r="G22" s="12">
        <v>5</v>
      </c>
      <c r="H22" s="12">
        <v>5</v>
      </c>
      <c r="I22" s="12">
        <v>5</v>
      </c>
      <c r="J22" s="12">
        <v>5</v>
      </c>
      <c r="K22" s="13">
        <f t="shared" si="3"/>
        <v>35</v>
      </c>
      <c r="L22" s="12">
        <v>5</v>
      </c>
      <c r="M22" s="12">
        <v>5</v>
      </c>
      <c r="N22" s="12">
        <v>2</v>
      </c>
      <c r="O22" s="12">
        <v>5</v>
      </c>
      <c r="P22" s="12">
        <v>2</v>
      </c>
      <c r="Q22" s="12">
        <v>5</v>
      </c>
      <c r="R22" s="12">
        <v>4</v>
      </c>
      <c r="S22" s="12">
        <v>5</v>
      </c>
      <c r="T22" s="12">
        <v>5</v>
      </c>
      <c r="U22" s="12">
        <v>5</v>
      </c>
      <c r="V22" s="12">
        <v>5</v>
      </c>
      <c r="W22" s="12">
        <v>4</v>
      </c>
      <c r="X22" s="12">
        <v>3</v>
      </c>
      <c r="Y22" s="12">
        <v>3</v>
      </c>
      <c r="Z22" s="12">
        <v>3</v>
      </c>
      <c r="AA22" s="12">
        <v>5</v>
      </c>
      <c r="AB22" s="13">
        <f t="shared" si="4"/>
        <v>66</v>
      </c>
      <c r="AC22" s="14"/>
    </row>
    <row r="23" spans="1:29">
      <c r="D23">
        <f>AVERAGE(D12:D22)</f>
        <v>5</v>
      </c>
      <c r="E23">
        <f t="shared" ref="E23:AB23" si="5">AVERAGE(E12:E22)</f>
        <v>5</v>
      </c>
      <c r="F23">
        <f t="shared" si="5"/>
        <v>5</v>
      </c>
      <c r="G23">
        <f t="shared" si="5"/>
        <v>5</v>
      </c>
      <c r="H23">
        <f t="shared" si="5"/>
        <v>5</v>
      </c>
      <c r="I23">
        <f t="shared" si="5"/>
        <v>5</v>
      </c>
      <c r="J23">
        <f t="shared" si="5"/>
        <v>4.90909090909091</v>
      </c>
      <c r="K23">
        <f t="shared" si="5"/>
        <v>34.9090909090909</v>
      </c>
      <c r="L23">
        <f t="shared" si="5"/>
        <v>5</v>
      </c>
      <c r="M23">
        <f t="shared" si="5"/>
        <v>4.81818181818182</v>
      </c>
      <c r="N23">
        <f t="shared" si="5"/>
        <v>2.45454545454545</v>
      </c>
      <c r="O23">
        <f t="shared" si="5"/>
        <v>5</v>
      </c>
      <c r="P23">
        <f t="shared" si="5"/>
        <v>2</v>
      </c>
      <c r="Q23">
        <f t="shared" si="5"/>
        <v>4.27272727272727</v>
      </c>
      <c r="R23">
        <f t="shared" si="5"/>
        <v>4</v>
      </c>
      <c r="S23">
        <f t="shared" si="5"/>
        <v>5</v>
      </c>
      <c r="T23">
        <f t="shared" si="5"/>
        <v>5</v>
      </c>
      <c r="U23">
        <f t="shared" si="5"/>
        <v>5</v>
      </c>
      <c r="V23">
        <f t="shared" si="5"/>
        <v>5</v>
      </c>
      <c r="W23">
        <f t="shared" si="5"/>
        <v>4</v>
      </c>
      <c r="X23">
        <f t="shared" si="5"/>
        <v>2.27272727272727</v>
      </c>
      <c r="Y23">
        <f t="shared" si="5"/>
        <v>3.45454545454545</v>
      </c>
      <c r="Z23">
        <f t="shared" si="5"/>
        <v>3</v>
      </c>
      <c r="AA23">
        <f t="shared" si="5"/>
        <v>3.90909090909091</v>
      </c>
      <c r="AB23">
        <f t="shared" si="5"/>
        <v>64.1818181818182</v>
      </c>
    </row>
    <row r="25" ht="202.5" spans="1:29">
      <c r="A25" s="15" t="s">
        <v>396</v>
      </c>
      <c r="B25" s="10" t="s">
        <v>45</v>
      </c>
      <c r="C25" s="11" t="s">
        <v>46</v>
      </c>
      <c r="D25" s="12">
        <v>5</v>
      </c>
      <c r="E25" s="12">
        <v>4</v>
      </c>
      <c r="F25" s="12">
        <v>5</v>
      </c>
      <c r="G25" s="12">
        <v>5</v>
      </c>
      <c r="H25" s="12">
        <v>4</v>
      </c>
      <c r="I25" s="12">
        <v>5</v>
      </c>
      <c r="J25" s="12">
        <v>5</v>
      </c>
      <c r="K25" s="13">
        <f t="shared" ref="K20:K42" si="6">SUM(D25:J25)</f>
        <v>33</v>
      </c>
      <c r="L25" s="12">
        <v>5</v>
      </c>
      <c r="M25" s="12">
        <v>5</v>
      </c>
      <c r="N25" s="12">
        <v>3</v>
      </c>
      <c r="O25" s="12">
        <v>5</v>
      </c>
      <c r="P25" s="12">
        <v>4</v>
      </c>
      <c r="Q25" s="12">
        <v>3</v>
      </c>
      <c r="R25" s="12">
        <v>3</v>
      </c>
      <c r="S25" s="12">
        <v>5</v>
      </c>
      <c r="T25" s="12">
        <v>3</v>
      </c>
      <c r="U25" s="12">
        <v>5</v>
      </c>
      <c r="V25" s="12">
        <v>5</v>
      </c>
      <c r="W25" s="12">
        <v>5</v>
      </c>
      <c r="X25" s="12">
        <v>3</v>
      </c>
      <c r="Y25" s="12">
        <v>4</v>
      </c>
      <c r="Z25" s="12">
        <v>3</v>
      </c>
      <c r="AA25" s="12">
        <v>4</v>
      </c>
      <c r="AB25" s="13">
        <f t="shared" ref="AB20:AB42" si="7">SUM(L25:AA25)</f>
        <v>65</v>
      </c>
      <c r="AC25" s="13"/>
    </row>
    <row r="26" ht="148.5" spans="1:29">
      <c r="A26" s="15"/>
      <c r="B26" s="10" t="s">
        <v>47</v>
      </c>
      <c r="C26" s="11" t="s">
        <v>48</v>
      </c>
      <c r="D26" s="12">
        <v>5</v>
      </c>
      <c r="E26" s="12">
        <v>5</v>
      </c>
      <c r="F26" s="12">
        <v>5</v>
      </c>
      <c r="G26" s="12">
        <v>5</v>
      </c>
      <c r="H26" s="12">
        <v>4</v>
      </c>
      <c r="I26" s="12">
        <v>5</v>
      </c>
      <c r="J26" s="12">
        <v>5</v>
      </c>
      <c r="K26" s="13">
        <f t="shared" si="6"/>
        <v>34</v>
      </c>
      <c r="L26" s="12">
        <v>5</v>
      </c>
      <c r="M26" s="12">
        <v>5</v>
      </c>
      <c r="N26" s="12">
        <v>3</v>
      </c>
      <c r="O26" s="12">
        <v>5</v>
      </c>
      <c r="P26" s="12">
        <v>1</v>
      </c>
      <c r="Q26" s="12">
        <v>4</v>
      </c>
      <c r="R26" s="12">
        <v>4</v>
      </c>
      <c r="S26" s="12">
        <v>5</v>
      </c>
      <c r="T26" s="12">
        <v>5</v>
      </c>
      <c r="U26" s="12">
        <v>5</v>
      </c>
      <c r="V26" s="12">
        <v>5</v>
      </c>
      <c r="W26" s="12">
        <v>3</v>
      </c>
      <c r="X26" s="12">
        <v>1</v>
      </c>
      <c r="Y26" s="12">
        <v>3</v>
      </c>
      <c r="Z26" s="12">
        <v>3</v>
      </c>
      <c r="AA26" s="12">
        <v>3</v>
      </c>
      <c r="AB26" s="13">
        <f t="shared" si="7"/>
        <v>60</v>
      </c>
      <c r="AC26" s="14"/>
    </row>
    <row r="27" ht="135" spans="1:29">
      <c r="A27" s="15"/>
      <c r="B27" s="10" t="s">
        <v>49</v>
      </c>
      <c r="C27" s="11" t="s">
        <v>50</v>
      </c>
      <c r="D27" s="12">
        <v>5</v>
      </c>
      <c r="E27" s="12">
        <v>5</v>
      </c>
      <c r="F27" s="12">
        <v>5</v>
      </c>
      <c r="G27" s="12">
        <v>5</v>
      </c>
      <c r="H27" s="12">
        <v>5</v>
      </c>
      <c r="I27" s="12">
        <v>5</v>
      </c>
      <c r="J27" s="12">
        <v>5</v>
      </c>
      <c r="K27" s="13">
        <f t="shared" si="6"/>
        <v>35</v>
      </c>
      <c r="L27" s="12">
        <v>5</v>
      </c>
      <c r="M27" s="12">
        <v>5</v>
      </c>
      <c r="N27" s="12">
        <v>3</v>
      </c>
      <c r="O27" s="12">
        <v>5</v>
      </c>
      <c r="P27" s="12">
        <v>2</v>
      </c>
      <c r="Q27" s="12">
        <v>4</v>
      </c>
      <c r="R27" s="12">
        <v>3</v>
      </c>
      <c r="S27" s="12">
        <v>5</v>
      </c>
      <c r="T27" s="12">
        <v>5</v>
      </c>
      <c r="U27" s="12">
        <v>5</v>
      </c>
      <c r="V27" s="12">
        <v>5</v>
      </c>
      <c r="W27" s="12">
        <v>3</v>
      </c>
      <c r="X27" s="12">
        <v>2</v>
      </c>
      <c r="Y27" s="12">
        <v>3</v>
      </c>
      <c r="Z27" s="12">
        <v>3</v>
      </c>
      <c r="AA27" s="12">
        <v>3</v>
      </c>
      <c r="AB27" s="13">
        <f t="shared" si="7"/>
        <v>61</v>
      </c>
      <c r="AC27" s="14"/>
    </row>
    <row r="28" ht="135" spans="1:29">
      <c r="A28" s="15"/>
      <c r="B28" s="10" t="s">
        <v>51</v>
      </c>
      <c r="C28" s="11" t="s">
        <v>52</v>
      </c>
      <c r="D28" s="12">
        <v>5</v>
      </c>
      <c r="E28" s="12">
        <v>5</v>
      </c>
      <c r="F28" s="12">
        <v>5</v>
      </c>
      <c r="G28" s="12">
        <v>5</v>
      </c>
      <c r="H28" s="12">
        <v>5</v>
      </c>
      <c r="I28" s="12">
        <v>5</v>
      </c>
      <c r="J28" s="12">
        <v>5</v>
      </c>
      <c r="K28" s="13">
        <f t="shared" si="6"/>
        <v>35</v>
      </c>
      <c r="L28" s="12">
        <v>5</v>
      </c>
      <c r="M28" s="12">
        <v>5</v>
      </c>
      <c r="N28" s="12">
        <v>3</v>
      </c>
      <c r="O28" s="12">
        <v>5</v>
      </c>
      <c r="P28" s="12">
        <v>2</v>
      </c>
      <c r="Q28" s="12">
        <v>4</v>
      </c>
      <c r="R28" s="12">
        <v>3</v>
      </c>
      <c r="S28" s="12">
        <v>5</v>
      </c>
      <c r="T28" s="12">
        <v>5</v>
      </c>
      <c r="U28" s="12">
        <v>5</v>
      </c>
      <c r="V28" s="12">
        <v>5</v>
      </c>
      <c r="W28" s="12">
        <v>2</v>
      </c>
      <c r="X28" s="12">
        <v>2</v>
      </c>
      <c r="Y28" s="12">
        <v>3</v>
      </c>
      <c r="Z28" s="12">
        <v>3</v>
      </c>
      <c r="AA28" s="12">
        <v>3</v>
      </c>
      <c r="AB28" s="13">
        <f t="shared" si="7"/>
        <v>60</v>
      </c>
      <c r="AC28" s="14"/>
    </row>
    <row r="29" ht="98" customHeight="1" spans="1:29">
      <c r="A29" s="15"/>
      <c r="B29" s="10" t="s">
        <v>53</v>
      </c>
      <c r="C29" s="11" t="s">
        <v>54</v>
      </c>
      <c r="D29" s="12">
        <v>5</v>
      </c>
      <c r="E29" s="12">
        <v>5</v>
      </c>
      <c r="F29" s="12">
        <v>5</v>
      </c>
      <c r="G29" s="12">
        <v>5</v>
      </c>
      <c r="H29" s="12">
        <v>5</v>
      </c>
      <c r="I29" s="12">
        <v>5</v>
      </c>
      <c r="J29" s="12">
        <v>5</v>
      </c>
      <c r="K29" s="13">
        <f t="shared" si="6"/>
        <v>35</v>
      </c>
      <c r="L29" s="12">
        <v>5</v>
      </c>
      <c r="M29" s="12">
        <v>5</v>
      </c>
      <c r="N29" s="12">
        <v>3</v>
      </c>
      <c r="O29" s="12">
        <v>5</v>
      </c>
      <c r="P29" s="12">
        <v>1</v>
      </c>
      <c r="Q29" s="12">
        <v>4</v>
      </c>
      <c r="R29" s="12">
        <v>4</v>
      </c>
      <c r="S29" s="12">
        <v>5</v>
      </c>
      <c r="T29" s="12">
        <v>5</v>
      </c>
      <c r="U29" s="12">
        <v>5</v>
      </c>
      <c r="V29" s="12">
        <v>5</v>
      </c>
      <c r="W29" s="12">
        <v>3</v>
      </c>
      <c r="X29" s="12">
        <v>2</v>
      </c>
      <c r="Y29" s="12">
        <v>3</v>
      </c>
      <c r="Z29" s="12">
        <v>3</v>
      </c>
      <c r="AA29" s="12">
        <v>3</v>
      </c>
      <c r="AB29" s="13">
        <f t="shared" si="7"/>
        <v>61</v>
      </c>
      <c r="AC29" s="14"/>
    </row>
    <row r="30" ht="148.5" spans="1:29">
      <c r="A30" s="15"/>
      <c r="B30" s="10" t="s">
        <v>55</v>
      </c>
      <c r="C30" s="11" t="s">
        <v>56</v>
      </c>
      <c r="D30" s="12">
        <v>4</v>
      </c>
      <c r="E30" s="12">
        <v>5</v>
      </c>
      <c r="F30" s="12">
        <v>4</v>
      </c>
      <c r="G30" s="12">
        <v>5</v>
      </c>
      <c r="H30" s="12">
        <v>5</v>
      </c>
      <c r="I30" s="12">
        <v>5</v>
      </c>
      <c r="J30" s="12">
        <v>5</v>
      </c>
      <c r="K30" s="13">
        <f t="shared" si="6"/>
        <v>33</v>
      </c>
      <c r="L30" s="12">
        <v>5</v>
      </c>
      <c r="M30" s="12">
        <v>5</v>
      </c>
      <c r="N30" s="12">
        <v>3</v>
      </c>
      <c r="O30" s="12">
        <v>5</v>
      </c>
      <c r="P30" s="12">
        <v>1</v>
      </c>
      <c r="Q30" s="12">
        <v>4</v>
      </c>
      <c r="R30" s="12">
        <v>4</v>
      </c>
      <c r="S30" s="12">
        <v>5</v>
      </c>
      <c r="T30" s="12">
        <v>5</v>
      </c>
      <c r="U30" s="12">
        <v>5</v>
      </c>
      <c r="V30" s="12">
        <v>5</v>
      </c>
      <c r="W30" s="12">
        <v>3</v>
      </c>
      <c r="X30" s="12">
        <v>2</v>
      </c>
      <c r="Y30" s="12">
        <v>4</v>
      </c>
      <c r="Z30" s="12">
        <v>3</v>
      </c>
      <c r="AA30" s="12">
        <v>4</v>
      </c>
      <c r="AB30" s="13">
        <f t="shared" si="7"/>
        <v>63</v>
      </c>
      <c r="AC30" s="14"/>
    </row>
    <row r="31" ht="121.5" spans="1:29">
      <c r="A31" s="15"/>
      <c r="B31" s="10" t="s">
        <v>57</v>
      </c>
      <c r="C31" s="11" t="s">
        <v>58</v>
      </c>
      <c r="D31" s="12">
        <v>5</v>
      </c>
      <c r="E31" s="12">
        <v>5</v>
      </c>
      <c r="F31" s="12">
        <v>5</v>
      </c>
      <c r="G31" s="12">
        <v>5</v>
      </c>
      <c r="H31" s="12">
        <v>5</v>
      </c>
      <c r="I31" s="12">
        <v>5</v>
      </c>
      <c r="J31" s="12">
        <v>5</v>
      </c>
      <c r="K31" s="13">
        <f t="shared" si="6"/>
        <v>35</v>
      </c>
      <c r="L31" s="12">
        <v>5</v>
      </c>
      <c r="M31" s="12">
        <v>5</v>
      </c>
      <c r="N31" s="12">
        <v>3</v>
      </c>
      <c r="O31" s="12">
        <v>5</v>
      </c>
      <c r="P31" s="12">
        <v>2</v>
      </c>
      <c r="Q31" s="12">
        <v>4</v>
      </c>
      <c r="R31" s="12">
        <v>4</v>
      </c>
      <c r="S31" s="12">
        <v>5</v>
      </c>
      <c r="T31" s="12">
        <v>5</v>
      </c>
      <c r="U31" s="12">
        <v>5</v>
      </c>
      <c r="V31" s="12">
        <v>5</v>
      </c>
      <c r="W31" s="12">
        <v>3</v>
      </c>
      <c r="X31" s="12">
        <v>2</v>
      </c>
      <c r="Y31" s="12">
        <v>3</v>
      </c>
      <c r="Z31" s="12">
        <v>3</v>
      </c>
      <c r="AA31" s="12">
        <v>3</v>
      </c>
      <c r="AB31" s="13">
        <f t="shared" si="7"/>
        <v>62</v>
      </c>
      <c r="AC31" s="14"/>
    </row>
    <row r="32" ht="135" spans="1:29">
      <c r="A32" s="15"/>
      <c r="B32" s="10" t="s">
        <v>59</v>
      </c>
      <c r="C32" s="11" t="s">
        <v>60</v>
      </c>
      <c r="D32" s="12">
        <v>5</v>
      </c>
      <c r="E32" s="12">
        <v>5</v>
      </c>
      <c r="F32" s="12">
        <v>5</v>
      </c>
      <c r="G32" s="12">
        <v>5</v>
      </c>
      <c r="H32" s="12">
        <v>5</v>
      </c>
      <c r="I32" s="12">
        <v>5</v>
      </c>
      <c r="J32" s="12">
        <v>5</v>
      </c>
      <c r="K32" s="13">
        <f t="shared" si="6"/>
        <v>35</v>
      </c>
      <c r="L32" s="12">
        <v>5</v>
      </c>
      <c r="M32" s="12">
        <v>5</v>
      </c>
      <c r="N32" s="12">
        <v>3</v>
      </c>
      <c r="O32" s="12">
        <v>5</v>
      </c>
      <c r="P32" s="12">
        <v>2</v>
      </c>
      <c r="Q32" s="12">
        <v>4</v>
      </c>
      <c r="R32" s="12">
        <v>4</v>
      </c>
      <c r="S32" s="12">
        <v>5</v>
      </c>
      <c r="T32" s="12">
        <v>5</v>
      </c>
      <c r="U32" s="12">
        <v>5</v>
      </c>
      <c r="V32" s="12">
        <v>5</v>
      </c>
      <c r="W32" s="12">
        <v>4</v>
      </c>
      <c r="X32" s="12">
        <v>3</v>
      </c>
      <c r="Y32" s="12">
        <v>4</v>
      </c>
      <c r="Z32" s="12">
        <v>3</v>
      </c>
      <c r="AA32" s="12">
        <v>4</v>
      </c>
      <c r="AB32" s="13">
        <f t="shared" si="7"/>
        <v>66</v>
      </c>
      <c r="AC32" s="14"/>
    </row>
    <row r="33" ht="108" spans="1:29">
      <c r="A33" s="15"/>
      <c r="B33" s="10" t="s">
        <v>61</v>
      </c>
      <c r="C33" s="11" t="s">
        <v>62</v>
      </c>
      <c r="D33" s="12">
        <v>5</v>
      </c>
      <c r="E33" s="12">
        <v>5</v>
      </c>
      <c r="F33" s="12">
        <v>5</v>
      </c>
      <c r="G33" s="12">
        <v>5</v>
      </c>
      <c r="H33" s="12">
        <v>5</v>
      </c>
      <c r="I33" s="12">
        <v>5</v>
      </c>
      <c r="J33" s="12">
        <v>5</v>
      </c>
      <c r="K33" s="13">
        <f t="shared" si="6"/>
        <v>35</v>
      </c>
      <c r="L33" s="12">
        <v>5</v>
      </c>
      <c r="M33" s="12">
        <v>5</v>
      </c>
      <c r="N33" s="12">
        <v>3</v>
      </c>
      <c r="O33" s="12">
        <v>5</v>
      </c>
      <c r="P33" s="12">
        <v>2</v>
      </c>
      <c r="Q33" s="12">
        <v>4</v>
      </c>
      <c r="R33" s="12">
        <v>4</v>
      </c>
      <c r="S33" s="12">
        <v>5</v>
      </c>
      <c r="T33" s="12">
        <v>5</v>
      </c>
      <c r="U33" s="12">
        <v>5</v>
      </c>
      <c r="V33" s="12">
        <v>5</v>
      </c>
      <c r="W33" s="12">
        <v>3</v>
      </c>
      <c r="X33" s="12">
        <v>2</v>
      </c>
      <c r="Y33" s="12">
        <v>3</v>
      </c>
      <c r="Z33" s="12">
        <v>3</v>
      </c>
      <c r="AA33" s="12">
        <v>3</v>
      </c>
      <c r="AB33" s="13">
        <f t="shared" si="7"/>
        <v>62</v>
      </c>
      <c r="AC33" s="14"/>
    </row>
    <row r="34" ht="202.5" spans="1:29">
      <c r="A34" s="15"/>
      <c r="B34" s="10" t="s">
        <v>63</v>
      </c>
      <c r="C34" s="11" t="s">
        <v>64</v>
      </c>
      <c r="D34" s="12">
        <v>4</v>
      </c>
      <c r="E34" s="12">
        <v>5</v>
      </c>
      <c r="F34" s="12">
        <v>5</v>
      </c>
      <c r="G34" s="12">
        <v>5</v>
      </c>
      <c r="H34" s="12">
        <v>5</v>
      </c>
      <c r="I34" s="12">
        <v>5</v>
      </c>
      <c r="J34" s="12">
        <v>5</v>
      </c>
      <c r="K34" s="13">
        <f t="shared" si="6"/>
        <v>34</v>
      </c>
      <c r="L34" s="12">
        <v>4</v>
      </c>
      <c r="M34" s="12">
        <v>5</v>
      </c>
      <c r="N34" s="12">
        <v>3</v>
      </c>
      <c r="O34" s="12">
        <v>5</v>
      </c>
      <c r="P34" s="12">
        <v>3</v>
      </c>
      <c r="Q34" s="12">
        <v>4</v>
      </c>
      <c r="R34" s="12">
        <v>4</v>
      </c>
      <c r="S34" s="12">
        <v>5</v>
      </c>
      <c r="T34" s="12">
        <v>5</v>
      </c>
      <c r="U34" s="12">
        <v>5</v>
      </c>
      <c r="V34" s="12">
        <v>5</v>
      </c>
      <c r="W34" s="12">
        <v>4</v>
      </c>
      <c r="X34" s="12">
        <v>3</v>
      </c>
      <c r="Y34" s="12">
        <v>4</v>
      </c>
      <c r="Z34" s="12">
        <v>3</v>
      </c>
      <c r="AA34" s="12">
        <v>4</v>
      </c>
      <c r="AB34" s="13">
        <f t="shared" si="7"/>
        <v>66</v>
      </c>
      <c r="AC34" s="14"/>
    </row>
    <row r="35" ht="108" spans="1:29">
      <c r="A35" s="15"/>
      <c r="B35" s="10" t="s">
        <v>65</v>
      </c>
      <c r="C35" s="11" t="s">
        <v>66</v>
      </c>
      <c r="D35" s="12">
        <v>5</v>
      </c>
      <c r="E35" s="12">
        <v>5</v>
      </c>
      <c r="F35" s="12">
        <v>5</v>
      </c>
      <c r="G35" s="12">
        <v>5</v>
      </c>
      <c r="H35" s="12">
        <v>5</v>
      </c>
      <c r="I35" s="12">
        <v>5</v>
      </c>
      <c r="J35" s="12">
        <v>5</v>
      </c>
      <c r="K35" s="13">
        <f t="shared" si="6"/>
        <v>35</v>
      </c>
      <c r="L35" s="12">
        <v>5</v>
      </c>
      <c r="M35" s="12">
        <v>5</v>
      </c>
      <c r="N35" s="12">
        <v>3</v>
      </c>
      <c r="O35" s="12">
        <v>5</v>
      </c>
      <c r="P35" s="12">
        <v>1</v>
      </c>
      <c r="Q35" s="12">
        <v>4</v>
      </c>
      <c r="R35" s="12">
        <v>4</v>
      </c>
      <c r="S35" s="12">
        <v>5</v>
      </c>
      <c r="T35" s="12">
        <v>5</v>
      </c>
      <c r="U35" s="12">
        <v>5</v>
      </c>
      <c r="V35" s="12">
        <v>5</v>
      </c>
      <c r="W35" s="12">
        <v>3</v>
      </c>
      <c r="X35" s="12">
        <v>2</v>
      </c>
      <c r="Y35" s="12">
        <v>3</v>
      </c>
      <c r="Z35" s="12">
        <v>3</v>
      </c>
      <c r="AA35" s="12">
        <v>3</v>
      </c>
      <c r="AB35" s="13">
        <f t="shared" si="7"/>
        <v>61</v>
      </c>
      <c r="AC35" s="14"/>
    </row>
    <row r="36" ht="189" spans="1:29">
      <c r="A36" s="15"/>
      <c r="B36" s="10" t="s">
        <v>67</v>
      </c>
      <c r="C36" s="11" t="s">
        <v>68</v>
      </c>
      <c r="D36" s="12">
        <v>4</v>
      </c>
      <c r="E36" s="12">
        <v>5</v>
      </c>
      <c r="F36" s="12">
        <v>5</v>
      </c>
      <c r="G36" s="12">
        <v>5</v>
      </c>
      <c r="H36" s="12">
        <v>5</v>
      </c>
      <c r="I36" s="12">
        <v>5</v>
      </c>
      <c r="J36" s="12">
        <v>5</v>
      </c>
      <c r="K36" s="13">
        <f t="shared" si="6"/>
        <v>34</v>
      </c>
      <c r="L36" s="12">
        <v>5</v>
      </c>
      <c r="M36" s="12">
        <v>5</v>
      </c>
      <c r="N36" s="12">
        <v>3</v>
      </c>
      <c r="O36" s="12">
        <v>5</v>
      </c>
      <c r="P36" s="12">
        <v>3</v>
      </c>
      <c r="Q36" s="12">
        <v>4</v>
      </c>
      <c r="R36" s="12">
        <v>4</v>
      </c>
      <c r="S36" s="12">
        <v>5</v>
      </c>
      <c r="T36" s="12">
        <v>5</v>
      </c>
      <c r="U36" s="12">
        <v>5</v>
      </c>
      <c r="V36" s="12">
        <v>5</v>
      </c>
      <c r="W36" s="12">
        <v>4</v>
      </c>
      <c r="X36" s="12">
        <v>3</v>
      </c>
      <c r="Y36" s="12">
        <v>4</v>
      </c>
      <c r="Z36" s="12">
        <v>3</v>
      </c>
      <c r="AA36" s="12">
        <v>4</v>
      </c>
      <c r="AB36" s="13">
        <f t="shared" si="7"/>
        <v>67</v>
      </c>
      <c r="AC36" s="14"/>
    </row>
    <row r="37" ht="135" spans="1:29">
      <c r="A37" s="15"/>
      <c r="B37" s="10" t="s">
        <v>69</v>
      </c>
      <c r="C37" s="11" t="s">
        <v>70</v>
      </c>
      <c r="D37" s="12">
        <v>5</v>
      </c>
      <c r="E37" s="12">
        <v>5</v>
      </c>
      <c r="F37" s="12">
        <v>5</v>
      </c>
      <c r="G37" s="12">
        <v>5</v>
      </c>
      <c r="H37" s="12">
        <v>5</v>
      </c>
      <c r="I37" s="12">
        <v>5</v>
      </c>
      <c r="J37" s="12">
        <v>5</v>
      </c>
      <c r="K37" s="13">
        <f t="shared" si="6"/>
        <v>35</v>
      </c>
      <c r="L37" s="12">
        <v>5</v>
      </c>
      <c r="M37" s="12">
        <v>5</v>
      </c>
      <c r="N37" s="12">
        <v>3</v>
      </c>
      <c r="O37" s="12">
        <v>5</v>
      </c>
      <c r="P37" s="12">
        <v>1</v>
      </c>
      <c r="Q37" s="12">
        <v>4</v>
      </c>
      <c r="R37" s="12">
        <v>4</v>
      </c>
      <c r="S37" s="12">
        <v>5</v>
      </c>
      <c r="T37" s="12">
        <v>5</v>
      </c>
      <c r="U37" s="12">
        <v>5</v>
      </c>
      <c r="V37" s="12">
        <v>5</v>
      </c>
      <c r="W37" s="12">
        <v>2</v>
      </c>
      <c r="X37" s="12">
        <v>2</v>
      </c>
      <c r="Y37" s="12">
        <v>3</v>
      </c>
      <c r="Z37" s="12">
        <v>3</v>
      </c>
      <c r="AA37" s="12">
        <v>3</v>
      </c>
      <c r="AB37" s="13">
        <f t="shared" si="7"/>
        <v>60</v>
      </c>
      <c r="AC37" s="14"/>
    </row>
    <row r="38" ht="121.5" spans="1:29">
      <c r="A38" s="15"/>
      <c r="B38" s="10" t="s">
        <v>71</v>
      </c>
      <c r="C38" s="11" t="s">
        <v>72</v>
      </c>
      <c r="D38" s="12">
        <v>5</v>
      </c>
      <c r="E38" s="12">
        <v>5</v>
      </c>
      <c r="F38" s="12">
        <v>5</v>
      </c>
      <c r="G38" s="12">
        <v>5</v>
      </c>
      <c r="H38" s="12">
        <v>5</v>
      </c>
      <c r="I38" s="12">
        <v>5</v>
      </c>
      <c r="J38" s="12">
        <v>4</v>
      </c>
      <c r="K38" s="13">
        <f t="shared" si="6"/>
        <v>34</v>
      </c>
      <c r="L38" s="12">
        <v>5</v>
      </c>
      <c r="M38" s="12">
        <v>5</v>
      </c>
      <c r="N38" s="12">
        <v>3</v>
      </c>
      <c r="O38" s="12">
        <v>5</v>
      </c>
      <c r="P38" s="12">
        <v>1</v>
      </c>
      <c r="Q38" s="12">
        <v>4</v>
      </c>
      <c r="R38" s="12">
        <v>4</v>
      </c>
      <c r="S38" s="12">
        <v>5</v>
      </c>
      <c r="T38" s="12">
        <v>5</v>
      </c>
      <c r="U38" s="12">
        <v>5</v>
      </c>
      <c r="V38" s="12">
        <v>5</v>
      </c>
      <c r="W38" s="12">
        <v>2</v>
      </c>
      <c r="X38" s="12">
        <v>2</v>
      </c>
      <c r="Y38" s="12">
        <v>3</v>
      </c>
      <c r="Z38" s="12">
        <v>3</v>
      </c>
      <c r="AA38" s="12">
        <v>3</v>
      </c>
      <c r="AB38" s="13">
        <f t="shared" si="7"/>
        <v>60</v>
      </c>
      <c r="AC38" s="14"/>
    </row>
    <row r="39" ht="148.5" spans="1:29">
      <c r="A39" s="15"/>
      <c r="B39" s="10" t="s">
        <v>73</v>
      </c>
      <c r="C39" s="11" t="s">
        <v>74</v>
      </c>
      <c r="D39" s="12">
        <v>5</v>
      </c>
      <c r="E39" s="12">
        <v>5</v>
      </c>
      <c r="F39" s="12">
        <v>5</v>
      </c>
      <c r="G39" s="12">
        <v>5</v>
      </c>
      <c r="H39" s="12">
        <v>5</v>
      </c>
      <c r="I39" s="12">
        <v>5</v>
      </c>
      <c r="J39" s="12">
        <v>5</v>
      </c>
      <c r="K39" s="13">
        <f t="shared" si="6"/>
        <v>35</v>
      </c>
      <c r="L39" s="12">
        <v>5</v>
      </c>
      <c r="M39" s="12">
        <v>5</v>
      </c>
      <c r="N39" s="12">
        <v>3</v>
      </c>
      <c r="O39" s="12">
        <v>5</v>
      </c>
      <c r="P39" s="12">
        <v>3</v>
      </c>
      <c r="Q39" s="12">
        <v>5</v>
      </c>
      <c r="R39" s="12">
        <v>4</v>
      </c>
      <c r="S39" s="12">
        <v>5</v>
      </c>
      <c r="T39" s="12">
        <v>5</v>
      </c>
      <c r="U39" s="12">
        <v>5</v>
      </c>
      <c r="V39" s="12">
        <v>5</v>
      </c>
      <c r="W39" s="12">
        <v>2</v>
      </c>
      <c r="X39" s="12">
        <v>2</v>
      </c>
      <c r="Y39" s="12">
        <v>4</v>
      </c>
      <c r="Z39" s="12">
        <v>3</v>
      </c>
      <c r="AA39" s="12">
        <v>4</v>
      </c>
      <c r="AB39" s="13">
        <f t="shared" si="7"/>
        <v>65</v>
      </c>
      <c r="AC39" s="14"/>
    </row>
    <row r="40" ht="256.5" spans="1:29">
      <c r="A40" s="15"/>
      <c r="B40" s="10" t="s">
        <v>75</v>
      </c>
      <c r="C40" s="11" t="s">
        <v>76</v>
      </c>
      <c r="D40" s="12">
        <v>5</v>
      </c>
      <c r="E40" s="12">
        <v>5</v>
      </c>
      <c r="F40" s="12">
        <v>5</v>
      </c>
      <c r="G40" s="12">
        <v>5</v>
      </c>
      <c r="H40" s="12">
        <v>5</v>
      </c>
      <c r="I40" s="12">
        <v>5</v>
      </c>
      <c r="J40" s="12">
        <v>4</v>
      </c>
      <c r="K40" s="13">
        <f t="shared" si="6"/>
        <v>34</v>
      </c>
      <c r="L40" s="12">
        <v>5</v>
      </c>
      <c r="M40" s="12">
        <v>5</v>
      </c>
      <c r="N40" s="12">
        <v>3</v>
      </c>
      <c r="O40" s="12">
        <v>5</v>
      </c>
      <c r="P40" s="12">
        <v>2</v>
      </c>
      <c r="Q40" s="12">
        <v>5</v>
      </c>
      <c r="R40" s="12">
        <v>4</v>
      </c>
      <c r="S40" s="12">
        <v>5</v>
      </c>
      <c r="T40" s="12">
        <v>5</v>
      </c>
      <c r="U40" s="12">
        <v>5</v>
      </c>
      <c r="V40" s="12">
        <v>5</v>
      </c>
      <c r="W40" s="12">
        <v>3</v>
      </c>
      <c r="X40" s="12">
        <v>2</v>
      </c>
      <c r="Y40" s="12">
        <v>3</v>
      </c>
      <c r="Z40" s="12">
        <v>3</v>
      </c>
      <c r="AA40" s="12">
        <v>3</v>
      </c>
      <c r="AB40" s="13">
        <f t="shared" si="7"/>
        <v>63</v>
      </c>
      <c r="AC40" s="14"/>
    </row>
    <row r="41" ht="287" customHeight="1" spans="1:29">
      <c r="A41" s="15"/>
      <c r="B41" s="10" t="s">
        <v>77</v>
      </c>
      <c r="C41" s="11" t="s">
        <v>78</v>
      </c>
      <c r="D41" s="12">
        <v>5</v>
      </c>
      <c r="E41" s="12">
        <v>5</v>
      </c>
      <c r="F41" s="12">
        <v>5</v>
      </c>
      <c r="G41" s="12">
        <v>5</v>
      </c>
      <c r="H41" s="12">
        <v>5</v>
      </c>
      <c r="I41" s="12">
        <v>5</v>
      </c>
      <c r="J41" s="12">
        <v>4</v>
      </c>
      <c r="K41" s="13">
        <f t="shared" si="6"/>
        <v>34</v>
      </c>
      <c r="L41" s="12">
        <v>5</v>
      </c>
      <c r="M41" s="12">
        <v>5</v>
      </c>
      <c r="N41" s="12">
        <v>3</v>
      </c>
      <c r="O41" s="12">
        <v>5</v>
      </c>
      <c r="P41" s="12">
        <v>3</v>
      </c>
      <c r="Q41" s="12">
        <v>5</v>
      </c>
      <c r="R41" s="12">
        <v>4</v>
      </c>
      <c r="S41" s="12">
        <v>5</v>
      </c>
      <c r="T41" s="12">
        <v>5</v>
      </c>
      <c r="U41" s="12">
        <v>5</v>
      </c>
      <c r="V41" s="12">
        <v>5</v>
      </c>
      <c r="W41" s="12">
        <v>3</v>
      </c>
      <c r="X41" s="12">
        <v>3</v>
      </c>
      <c r="Y41" s="12">
        <v>4</v>
      </c>
      <c r="Z41" s="12">
        <v>3</v>
      </c>
      <c r="AA41" s="12">
        <v>4</v>
      </c>
      <c r="AB41" s="13">
        <f t="shared" si="7"/>
        <v>67</v>
      </c>
      <c r="AC41" s="14"/>
    </row>
    <row r="42" ht="180" customHeight="1" spans="1:29">
      <c r="A42" s="15"/>
      <c r="B42" s="10" t="s">
        <v>79</v>
      </c>
      <c r="C42" s="11" t="s">
        <v>80</v>
      </c>
      <c r="D42" s="12">
        <v>5</v>
      </c>
      <c r="E42" s="12">
        <v>5</v>
      </c>
      <c r="F42" s="12">
        <v>5</v>
      </c>
      <c r="G42" s="12">
        <v>5</v>
      </c>
      <c r="H42" s="12">
        <v>5</v>
      </c>
      <c r="I42" s="12">
        <v>5</v>
      </c>
      <c r="J42" s="12">
        <v>5</v>
      </c>
      <c r="K42" s="13">
        <f t="shared" si="6"/>
        <v>35</v>
      </c>
      <c r="L42" s="12">
        <v>5</v>
      </c>
      <c r="M42" s="12">
        <v>5</v>
      </c>
      <c r="N42" s="12">
        <v>2</v>
      </c>
      <c r="O42" s="12">
        <v>5</v>
      </c>
      <c r="P42" s="12">
        <v>1</v>
      </c>
      <c r="Q42" s="12">
        <v>5</v>
      </c>
      <c r="R42" s="12">
        <v>4</v>
      </c>
      <c r="S42" s="12">
        <v>5</v>
      </c>
      <c r="T42" s="12">
        <v>5</v>
      </c>
      <c r="U42" s="12">
        <v>5</v>
      </c>
      <c r="V42" s="12">
        <v>5</v>
      </c>
      <c r="W42" s="12">
        <v>4</v>
      </c>
      <c r="X42" s="12">
        <v>2</v>
      </c>
      <c r="Y42" s="12">
        <v>3</v>
      </c>
      <c r="Z42" s="12">
        <v>3</v>
      </c>
      <c r="AA42" s="12">
        <v>3</v>
      </c>
      <c r="AB42" s="13">
        <f t="shared" si="7"/>
        <v>62</v>
      </c>
      <c r="AC42" s="14"/>
    </row>
    <row r="43" spans="1:29">
      <c r="D43">
        <f>AVERAGE(D25:D42)</f>
        <v>4.83333333333333</v>
      </c>
      <c r="E43">
        <f t="shared" ref="E43:AB43" si="8">AVERAGE(E25:E42)</f>
        <v>4.94444444444444</v>
      </c>
      <c r="F43">
        <f t="shared" si="8"/>
        <v>4.94444444444444</v>
      </c>
      <c r="G43">
        <f t="shared" si="8"/>
        <v>5</v>
      </c>
      <c r="H43">
        <f t="shared" si="8"/>
        <v>4.88888888888889</v>
      </c>
      <c r="I43">
        <f t="shared" si="8"/>
        <v>5</v>
      </c>
      <c r="J43">
        <f t="shared" si="8"/>
        <v>4.83333333333333</v>
      </c>
      <c r="K43">
        <f t="shared" si="8"/>
        <v>34.4444444444444</v>
      </c>
      <c r="L43">
        <f t="shared" si="8"/>
        <v>4.94444444444444</v>
      </c>
      <c r="M43">
        <f t="shared" si="8"/>
        <v>5</v>
      </c>
      <c r="N43">
        <f t="shared" si="8"/>
        <v>2.94444444444444</v>
      </c>
      <c r="O43">
        <f t="shared" si="8"/>
        <v>5</v>
      </c>
      <c r="P43">
        <f t="shared" si="8"/>
        <v>1.94444444444444</v>
      </c>
      <c r="Q43">
        <f t="shared" si="8"/>
        <v>4.16666666666667</v>
      </c>
      <c r="R43">
        <f t="shared" si="8"/>
        <v>3.83333333333333</v>
      </c>
      <c r="S43">
        <f t="shared" si="8"/>
        <v>5</v>
      </c>
      <c r="T43">
        <f t="shared" si="8"/>
        <v>4.88888888888889</v>
      </c>
      <c r="U43">
        <f t="shared" si="8"/>
        <v>5</v>
      </c>
      <c r="V43">
        <f t="shared" si="8"/>
        <v>5</v>
      </c>
      <c r="W43">
        <f t="shared" si="8"/>
        <v>3.11111111111111</v>
      </c>
      <c r="X43">
        <f t="shared" si="8"/>
        <v>2.22222222222222</v>
      </c>
      <c r="Y43">
        <f t="shared" si="8"/>
        <v>3.38888888888889</v>
      </c>
      <c r="Z43">
        <f t="shared" si="8"/>
        <v>3</v>
      </c>
      <c r="AA43">
        <f t="shared" si="8"/>
        <v>3.38888888888889</v>
      </c>
      <c r="AB43">
        <f t="shared" si="8"/>
        <v>62.8333333333333</v>
      </c>
    </row>
    <row r="45" ht="297" spans="1:29">
      <c r="A45" s="9" t="s">
        <v>397</v>
      </c>
      <c r="B45" s="10" t="s">
        <v>82</v>
      </c>
      <c r="C45" s="11" t="s">
        <v>83</v>
      </c>
      <c r="D45" s="12">
        <v>5</v>
      </c>
      <c r="E45" s="12">
        <v>5</v>
      </c>
      <c r="F45" s="12">
        <v>5</v>
      </c>
      <c r="G45" s="12">
        <v>5</v>
      </c>
      <c r="H45" s="12">
        <v>5</v>
      </c>
      <c r="I45" s="12">
        <v>5</v>
      </c>
      <c r="J45" s="12">
        <v>5</v>
      </c>
      <c r="K45" s="13">
        <f t="shared" ref="K45:K58" si="9">SUM(D45:J45)</f>
        <v>35</v>
      </c>
      <c r="L45" s="12">
        <v>5</v>
      </c>
      <c r="M45" s="12">
        <v>5</v>
      </c>
      <c r="N45" s="12">
        <v>2</v>
      </c>
      <c r="O45" s="12">
        <v>5</v>
      </c>
      <c r="P45" s="12">
        <v>2</v>
      </c>
      <c r="Q45" s="12">
        <v>5</v>
      </c>
      <c r="R45" s="12">
        <v>4</v>
      </c>
      <c r="S45" s="12">
        <v>5</v>
      </c>
      <c r="T45" s="12">
        <v>5</v>
      </c>
      <c r="U45" s="12">
        <v>5</v>
      </c>
      <c r="V45" s="12">
        <v>5</v>
      </c>
      <c r="W45" s="12">
        <v>4</v>
      </c>
      <c r="X45" s="12">
        <v>3</v>
      </c>
      <c r="Y45" s="12">
        <v>4</v>
      </c>
      <c r="Z45" s="12">
        <v>3</v>
      </c>
      <c r="AA45" s="12">
        <v>4</v>
      </c>
      <c r="AB45" s="13">
        <f t="shared" ref="AB45:AB58" si="10">SUM(L45:AA45)</f>
        <v>66</v>
      </c>
      <c r="AC45" s="14"/>
    </row>
    <row r="46" ht="148.5" spans="1:29">
      <c r="A46" s="15"/>
      <c r="B46" s="10" t="s">
        <v>84</v>
      </c>
      <c r="C46" s="11" t="s">
        <v>85</v>
      </c>
      <c r="D46" s="12">
        <v>5</v>
      </c>
      <c r="E46" s="12">
        <v>5</v>
      </c>
      <c r="F46" s="12">
        <v>5</v>
      </c>
      <c r="G46" s="12">
        <v>5</v>
      </c>
      <c r="H46" s="12">
        <v>5</v>
      </c>
      <c r="I46" s="12">
        <v>5</v>
      </c>
      <c r="J46" s="12">
        <v>4</v>
      </c>
      <c r="K46" s="13">
        <f t="shared" si="9"/>
        <v>34</v>
      </c>
      <c r="L46" s="12">
        <v>5</v>
      </c>
      <c r="M46" s="12">
        <v>5</v>
      </c>
      <c r="N46" s="12">
        <v>3</v>
      </c>
      <c r="O46" s="12">
        <v>5</v>
      </c>
      <c r="P46" s="12">
        <v>3</v>
      </c>
      <c r="Q46" s="12">
        <v>5</v>
      </c>
      <c r="R46" s="12">
        <v>4</v>
      </c>
      <c r="S46" s="12">
        <v>5</v>
      </c>
      <c r="T46" s="12">
        <v>5</v>
      </c>
      <c r="U46" s="12">
        <v>5</v>
      </c>
      <c r="V46" s="12">
        <v>5</v>
      </c>
      <c r="W46" s="12">
        <v>4</v>
      </c>
      <c r="X46" s="12">
        <v>3</v>
      </c>
      <c r="Y46" s="12">
        <v>4</v>
      </c>
      <c r="Z46" s="12">
        <v>3</v>
      </c>
      <c r="AA46" s="12">
        <v>4</v>
      </c>
      <c r="AB46" s="13">
        <f t="shared" si="10"/>
        <v>68</v>
      </c>
      <c r="AC46" s="14"/>
    </row>
    <row r="47" ht="189" spans="1:29">
      <c r="A47" s="15"/>
      <c r="B47" s="10" t="s">
        <v>86</v>
      </c>
      <c r="C47" s="11" t="s">
        <v>87</v>
      </c>
      <c r="D47" s="12">
        <v>5</v>
      </c>
      <c r="E47" s="12">
        <v>5</v>
      </c>
      <c r="F47" s="12">
        <v>5</v>
      </c>
      <c r="G47" s="12">
        <v>5</v>
      </c>
      <c r="H47" s="12">
        <v>5</v>
      </c>
      <c r="I47" s="12">
        <v>5</v>
      </c>
      <c r="J47" s="12">
        <v>5</v>
      </c>
      <c r="K47" s="13">
        <f t="shared" si="9"/>
        <v>35</v>
      </c>
      <c r="L47" s="12">
        <v>5</v>
      </c>
      <c r="M47" s="12">
        <v>5</v>
      </c>
      <c r="N47" s="12">
        <v>3</v>
      </c>
      <c r="O47" s="12">
        <v>5</v>
      </c>
      <c r="P47" s="12">
        <v>3</v>
      </c>
      <c r="Q47" s="12">
        <v>5</v>
      </c>
      <c r="R47" s="12">
        <v>4</v>
      </c>
      <c r="S47" s="12">
        <v>5</v>
      </c>
      <c r="T47" s="12">
        <v>5</v>
      </c>
      <c r="U47" s="12">
        <v>5</v>
      </c>
      <c r="V47" s="12">
        <v>5</v>
      </c>
      <c r="W47" s="12">
        <v>4</v>
      </c>
      <c r="X47" s="12">
        <v>3</v>
      </c>
      <c r="Y47" s="12">
        <v>4</v>
      </c>
      <c r="Z47" s="12">
        <v>3</v>
      </c>
      <c r="AA47" s="12">
        <v>4</v>
      </c>
      <c r="AB47" s="13">
        <f t="shared" si="10"/>
        <v>68</v>
      </c>
      <c r="AC47" s="14"/>
    </row>
    <row r="48" ht="202.5" spans="1:29">
      <c r="A48" s="15"/>
      <c r="B48" s="10" t="s">
        <v>88</v>
      </c>
      <c r="C48" s="11" t="s">
        <v>89</v>
      </c>
      <c r="D48" s="12">
        <v>5</v>
      </c>
      <c r="E48" s="12">
        <v>5</v>
      </c>
      <c r="F48" s="12">
        <v>5</v>
      </c>
      <c r="G48" s="12">
        <v>5</v>
      </c>
      <c r="H48" s="12">
        <v>5</v>
      </c>
      <c r="I48" s="12">
        <v>5</v>
      </c>
      <c r="J48" s="12">
        <v>4</v>
      </c>
      <c r="K48" s="13">
        <f t="shared" si="9"/>
        <v>34</v>
      </c>
      <c r="L48" s="12">
        <v>5</v>
      </c>
      <c r="M48" s="12">
        <v>5</v>
      </c>
      <c r="N48" s="12">
        <v>3</v>
      </c>
      <c r="O48" s="12">
        <v>5</v>
      </c>
      <c r="P48" s="12">
        <v>3</v>
      </c>
      <c r="Q48" s="12">
        <v>5</v>
      </c>
      <c r="R48" s="12">
        <v>4</v>
      </c>
      <c r="S48" s="12">
        <v>5</v>
      </c>
      <c r="T48" s="12">
        <v>5</v>
      </c>
      <c r="U48" s="12">
        <v>5</v>
      </c>
      <c r="V48" s="12">
        <v>5</v>
      </c>
      <c r="W48" s="12">
        <v>3</v>
      </c>
      <c r="X48" s="12">
        <v>3</v>
      </c>
      <c r="Y48" s="12">
        <v>4</v>
      </c>
      <c r="Z48" s="12">
        <v>3</v>
      </c>
      <c r="AA48" s="12">
        <v>4</v>
      </c>
      <c r="AB48" s="13">
        <f t="shared" si="10"/>
        <v>67</v>
      </c>
      <c r="AC48" s="13"/>
    </row>
    <row r="49" ht="229.5" spans="1:29">
      <c r="A49" s="15"/>
      <c r="B49" s="10" t="s">
        <v>90</v>
      </c>
      <c r="C49" s="11" t="s">
        <v>91</v>
      </c>
      <c r="D49" s="12">
        <v>5</v>
      </c>
      <c r="E49" s="12">
        <v>5</v>
      </c>
      <c r="F49" s="12">
        <v>5</v>
      </c>
      <c r="G49" s="12">
        <v>5</v>
      </c>
      <c r="H49" s="12">
        <v>5</v>
      </c>
      <c r="I49" s="12">
        <v>5</v>
      </c>
      <c r="J49" s="12">
        <v>5</v>
      </c>
      <c r="K49" s="13">
        <f t="shared" si="9"/>
        <v>35</v>
      </c>
      <c r="L49" s="12">
        <v>5</v>
      </c>
      <c r="M49" s="12">
        <v>5</v>
      </c>
      <c r="N49" s="12">
        <v>2</v>
      </c>
      <c r="O49" s="12">
        <v>5</v>
      </c>
      <c r="P49" s="12">
        <v>2</v>
      </c>
      <c r="Q49" s="12">
        <v>5</v>
      </c>
      <c r="R49" s="12">
        <v>4</v>
      </c>
      <c r="S49" s="12">
        <v>5</v>
      </c>
      <c r="T49" s="12">
        <v>5</v>
      </c>
      <c r="U49" s="12">
        <v>5</v>
      </c>
      <c r="V49" s="12">
        <v>5</v>
      </c>
      <c r="W49" s="12">
        <v>3</v>
      </c>
      <c r="X49" s="12">
        <v>3</v>
      </c>
      <c r="Y49" s="12">
        <v>4</v>
      </c>
      <c r="Z49" s="12">
        <v>3</v>
      </c>
      <c r="AA49" s="12">
        <v>4</v>
      </c>
      <c r="AB49" s="13">
        <f t="shared" si="10"/>
        <v>65</v>
      </c>
      <c r="AC49" s="14"/>
    </row>
    <row r="50" ht="229.5" spans="1:29">
      <c r="A50" s="15"/>
      <c r="B50" s="10" t="s">
        <v>92</v>
      </c>
      <c r="C50" s="11" t="s">
        <v>93</v>
      </c>
      <c r="D50" s="12">
        <v>5</v>
      </c>
      <c r="E50" s="12">
        <v>5</v>
      </c>
      <c r="F50" s="12">
        <v>5</v>
      </c>
      <c r="G50" s="12">
        <v>5</v>
      </c>
      <c r="H50" s="12">
        <v>5</v>
      </c>
      <c r="I50" s="12">
        <v>5</v>
      </c>
      <c r="J50" s="12">
        <v>5</v>
      </c>
      <c r="K50" s="13">
        <f t="shared" si="9"/>
        <v>35</v>
      </c>
      <c r="L50" s="12">
        <v>5</v>
      </c>
      <c r="M50" s="12">
        <v>5</v>
      </c>
      <c r="N50" s="12">
        <v>2</v>
      </c>
      <c r="O50" s="12">
        <v>5</v>
      </c>
      <c r="P50" s="12">
        <v>3</v>
      </c>
      <c r="Q50" s="12">
        <v>5</v>
      </c>
      <c r="R50" s="12">
        <v>4</v>
      </c>
      <c r="S50" s="12">
        <v>5</v>
      </c>
      <c r="T50" s="12">
        <v>5</v>
      </c>
      <c r="U50" s="12">
        <v>5</v>
      </c>
      <c r="V50" s="12">
        <v>5</v>
      </c>
      <c r="W50" s="12">
        <v>2</v>
      </c>
      <c r="X50" s="12">
        <v>3</v>
      </c>
      <c r="Y50" s="12">
        <v>4</v>
      </c>
      <c r="Z50" s="12">
        <v>3</v>
      </c>
      <c r="AA50" s="12">
        <v>4</v>
      </c>
      <c r="AB50" s="13">
        <f t="shared" si="10"/>
        <v>65</v>
      </c>
      <c r="AC50" s="14"/>
    </row>
    <row r="51" ht="243" spans="1:29">
      <c r="A51" s="15"/>
      <c r="B51" s="10" t="s">
        <v>94</v>
      </c>
      <c r="C51" s="11" t="s">
        <v>95</v>
      </c>
      <c r="D51" s="12">
        <v>5</v>
      </c>
      <c r="E51" s="12">
        <v>5</v>
      </c>
      <c r="F51" s="12">
        <v>5</v>
      </c>
      <c r="G51" s="12">
        <v>5</v>
      </c>
      <c r="H51" s="12">
        <v>5</v>
      </c>
      <c r="I51" s="12">
        <v>5</v>
      </c>
      <c r="J51" s="12">
        <v>5</v>
      </c>
      <c r="K51" s="13">
        <f t="shared" si="9"/>
        <v>35</v>
      </c>
      <c r="L51" s="12">
        <v>5</v>
      </c>
      <c r="M51" s="12">
        <v>5</v>
      </c>
      <c r="N51" s="12">
        <v>2</v>
      </c>
      <c r="O51" s="12">
        <v>5</v>
      </c>
      <c r="P51" s="12">
        <v>3</v>
      </c>
      <c r="Q51" s="12">
        <v>5</v>
      </c>
      <c r="R51" s="12">
        <v>4</v>
      </c>
      <c r="S51" s="12">
        <v>5</v>
      </c>
      <c r="T51" s="12">
        <v>5</v>
      </c>
      <c r="U51" s="12">
        <v>5</v>
      </c>
      <c r="V51" s="12">
        <v>5</v>
      </c>
      <c r="W51" s="12">
        <v>2</v>
      </c>
      <c r="X51" s="12">
        <v>3</v>
      </c>
      <c r="Y51" s="12">
        <v>4</v>
      </c>
      <c r="Z51" s="12">
        <v>3</v>
      </c>
      <c r="AA51" s="12">
        <v>4</v>
      </c>
      <c r="AB51" s="13">
        <f t="shared" si="10"/>
        <v>65</v>
      </c>
      <c r="AC51" s="14"/>
    </row>
    <row r="52" ht="229.5" spans="1:29">
      <c r="A52" s="15"/>
      <c r="B52" s="10" t="s">
        <v>96</v>
      </c>
      <c r="C52" s="11" t="s">
        <v>97</v>
      </c>
      <c r="D52" s="12">
        <v>5</v>
      </c>
      <c r="E52" s="12">
        <v>5</v>
      </c>
      <c r="F52" s="12">
        <v>5</v>
      </c>
      <c r="G52" s="12">
        <v>5</v>
      </c>
      <c r="H52" s="12">
        <v>5</v>
      </c>
      <c r="I52" s="12">
        <v>5</v>
      </c>
      <c r="J52" s="12">
        <v>5</v>
      </c>
      <c r="K52" s="13">
        <f t="shared" si="9"/>
        <v>35</v>
      </c>
      <c r="L52" s="12">
        <v>5</v>
      </c>
      <c r="M52" s="12">
        <v>5</v>
      </c>
      <c r="N52" s="12">
        <v>2</v>
      </c>
      <c r="O52" s="12">
        <v>5</v>
      </c>
      <c r="P52" s="12">
        <v>3</v>
      </c>
      <c r="Q52" s="12">
        <v>5</v>
      </c>
      <c r="R52" s="12">
        <v>4</v>
      </c>
      <c r="S52" s="12">
        <v>5</v>
      </c>
      <c r="T52" s="12">
        <v>5</v>
      </c>
      <c r="U52" s="12">
        <v>5</v>
      </c>
      <c r="V52" s="12">
        <v>5</v>
      </c>
      <c r="W52" s="12">
        <v>2</v>
      </c>
      <c r="X52" s="12">
        <v>2</v>
      </c>
      <c r="Y52" s="12">
        <v>4</v>
      </c>
      <c r="Z52" s="12">
        <v>3</v>
      </c>
      <c r="AA52" s="12">
        <v>4</v>
      </c>
      <c r="AB52" s="13">
        <f t="shared" si="10"/>
        <v>64</v>
      </c>
      <c r="AC52" s="14"/>
    </row>
    <row r="53" ht="378" customHeight="1" spans="1:29">
      <c r="A53" s="15"/>
      <c r="B53" s="10" t="s">
        <v>98</v>
      </c>
      <c r="C53" s="11" t="s">
        <v>99</v>
      </c>
      <c r="D53" s="12">
        <v>5</v>
      </c>
      <c r="E53" s="12">
        <v>5</v>
      </c>
      <c r="F53" s="12">
        <v>5</v>
      </c>
      <c r="G53" s="12">
        <v>5</v>
      </c>
      <c r="H53" s="12">
        <v>5</v>
      </c>
      <c r="I53" s="12">
        <v>5</v>
      </c>
      <c r="J53" s="12">
        <v>5</v>
      </c>
      <c r="K53" s="13">
        <f t="shared" si="9"/>
        <v>35</v>
      </c>
      <c r="L53" s="12">
        <v>5</v>
      </c>
      <c r="M53" s="12">
        <v>5</v>
      </c>
      <c r="N53" s="12">
        <v>2</v>
      </c>
      <c r="O53" s="12">
        <v>5</v>
      </c>
      <c r="P53" s="12">
        <v>3</v>
      </c>
      <c r="Q53" s="12">
        <v>5</v>
      </c>
      <c r="R53" s="12">
        <v>4</v>
      </c>
      <c r="S53" s="12">
        <v>5</v>
      </c>
      <c r="T53" s="12">
        <v>5</v>
      </c>
      <c r="U53" s="12">
        <v>5</v>
      </c>
      <c r="V53" s="12">
        <v>5</v>
      </c>
      <c r="W53" s="12">
        <v>2</v>
      </c>
      <c r="X53" s="12">
        <v>2</v>
      </c>
      <c r="Y53" s="12">
        <v>4</v>
      </c>
      <c r="Z53" s="12">
        <v>3</v>
      </c>
      <c r="AA53" s="12">
        <v>4</v>
      </c>
      <c r="AB53" s="13">
        <f t="shared" si="10"/>
        <v>64</v>
      </c>
      <c r="AC53" s="14"/>
    </row>
    <row r="54" ht="229.5" spans="1:29">
      <c r="A54" s="15"/>
      <c r="B54" s="10" t="s">
        <v>100</v>
      </c>
      <c r="C54" s="11" t="s">
        <v>101</v>
      </c>
      <c r="D54" s="12">
        <v>5</v>
      </c>
      <c r="E54" s="12">
        <v>5</v>
      </c>
      <c r="F54" s="12">
        <v>5</v>
      </c>
      <c r="G54" s="12">
        <v>5</v>
      </c>
      <c r="H54" s="12">
        <v>5</v>
      </c>
      <c r="I54" s="12">
        <v>5</v>
      </c>
      <c r="J54" s="12">
        <v>5</v>
      </c>
      <c r="K54" s="13">
        <f t="shared" si="9"/>
        <v>35</v>
      </c>
      <c r="L54" s="12">
        <v>5</v>
      </c>
      <c r="M54" s="12">
        <v>5</v>
      </c>
      <c r="N54" s="12">
        <v>2</v>
      </c>
      <c r="O54" s="12">
        <v>5</v>
      </c>
      <c r="P54" s="12">
        <v>3</v>
      </c>
      <c r="Q54" s="12">
        <v>5</v>
      </c>
      <c r="R54" s="12">
        <v>4</v>
      </c>
      <c r="S54" s="12">
        <v>5</v>
      </c>
      <c r="T54" s="12">
        <v>5</v>
      </c>
      <c r="U54" s="12">
        <v>5</v>
      </c>
      <c r="V54" s="12">
        <v>5</v>
      </c>
      <c r="W54" s="12">
        <v>2</v>
      </c>
      <c r="X54" s="12">
        <v>3</v>
      </c>
      <c r="Y54" s="12">
        <v>4</v>
      </c>
      <c r="Z54" s="12">
        <v>3</v>
      </c>
      <c r="AA54" s="12">
        <v>4</v>
      </c>
      <c r="AB54" s="13">
        <f t="shared" si="10"/>
        <v>65</v>
      </c>
      <c r="AC54" s="14"/>
    </row>
    <row r="55" ht="175.5" spans="1:29">
      <c r="A55" s="15"/>
      <c r="B55" s="10" t="s">
        <v>102</v>
      </c>
      <c r="C55" s="11" t="s">
        <v>103</v>
      </c>
      <c r="D55" s="12">
        <v>5</v>
      </c>
      <c r="E55" s="12">
        <v>5</v>
      </c>
      <c r="F55" s="12">
        <v>5</v>
      </c>
      <c r="G55" s="12">
        <v>5</v>
      </c>
      <c r="H55" s="12">
        <v>5</v>
      </c>
      <c r="I55" s="12">
        <v>5</v>
      </c>
      <c r="J55" s="12">
        <v>5</v>
      </c>
      <c r="K55" s="13">
        <f t="shared" si="9"/>
        <v>35</v>
      </c>
      <c r="L55" s="12">
        <v>5</v>
      </c>
      <c r="M55" s="12">
        <v>5</v>
      </c>
      <c r="N55" s="12">
        <v>3</v>
      </c>
      <c r="O55" s="12">
        <v>5</v>
      </c>
      <c r="P55" s="12">
        <v>3</v>
      </c>
      <c r="Q55" s="12">
        <v>5</v>
      </c>
      <c r="R55" s="12">
        <v>4</v>
      </c>
      <c r="S55" s="12">
        <v>5</v>
      </c>
      <c r="T55" s="12">
        <v>5</v>
      </c>
      <c r="U55" s="12">
        <v>5</v>
      </c>
      <c r="V55" s="12">
        <v>5</v>
      </c>
      <c r="W55" s="12">
        <v>4</v>
      </c>
      <c r="X55" s="12">
        <v>3</v>
      </c>
      <c r="Y55" s="12">
        <v>4</v>
      </c>
      <c r="Z55" s="12">
        <v>3</v>
      </c>
      <c r="AA55" s="12">
        <v>4</v>
      </c>
      <c r="AB55" s="13">
        <f t="shared" si="10"/>
        <v>68</v>
      </c>
      <c r="AC55" s="14"/>
    </row>
    <row r="56" ht="242" customHeight="1" spans="1:29">
      <c r="A56" s="15"/>
      <c r="B56" s="10" t="s">
        <v>104</v>
      </c>
      <c r="C56" s="11" t="s">
        <v>105</v>
      </c>
      <c r="D56" s="12">
        <v>5</v>
      </c>
      <c r="E56" s="12">
        <v>5</v>
      </c>
      <c r="F56" s="12">
        <v>5</v>
      </c>
      <c r="G56" s="12">
        <v>5</v>
      </c>
      <c r="H56" s="12">
        <v>5</v>
      </c>
      <c r="I56" s="12">
        <v>5</v>
      </c>
      <c r="J56" s="12">
        <v>5</v>
      </c>
      <c r="K56" s="13">
        <f t="shared" si="9"/>
        <v>35</v>
      </c>
      <c r="L56" s="12">
        <v>5</v>
      </c>
      <c r="M56" s="12">
        <v>5</v>
      </c>
      <c r="N56" s="12">
        <v>3</v>
      </c>
      <c r="O56" s="12">
        <v>5</v>
      </c>
      <c r="P56" s="12">
        <v>3</v>
      </c>
      <c r="Q56" s="12">
        <v>5</v>
      </c>
      <c r="R56" s="12">
        <v>4</v>
      </c>
      <c r="S56" s="12">
        <v>5</v>
      </c>
      <c r="T56" s="12">
        <v>5</v>
      </c>
      <c r="U56" s="12">
        <v>5</v>
      </c>
      <c r="V56" s="12">
        <v>5</v>
      </c>
      <c r="W56" s="12">
        <v>4</v>
      </c>
      <c r="X56" s="12">
        <v>3</v>
      </c>
      <c r="Y56" s="12">
        <v>4</v>
      </c>
      <c r="Z56" s="12">
        <v>3</v>
      </c>
      <c r="AA56" s="12">
        <v>5</v>
      </c>
      <c r="AB56" s="13">
        <f t="shared" si="10"/>
        <v>69</v>
      </c>
      <c r="AC56" s="14"/>
    </row>
    <row r="57" ht="203" customHeight="1" spans="1:29">
      <c r="A57" s="15"/>
      <c r="B57" s="10" t="s">
        <v>106</v>
      </c>
      <c r="C57" s="11" t="s">
        <v>107</v>
      </c>
      <c r="D57" s="12">
        <v>5</v>
      </c>
      <c r="E57" s="12">
        <v>5</v>
      </c>
      <c r="F57" s="12">
        <v>5</v>
      </c>
      <c r="G57" s="12">
        <v>5</v>
      </c>
      <c r="H57" s="12">
        <v>5</v>
      </c>
      <c r="I57" s="12">
        <v>5</v>
      </c>
      <c r="J57" s="12">
        <v>5</v>
      </c>
      <c r="K57" s="13">
        <f t="shared" si="9"/>
        <v>35</v>
      </c>
      <c r="L57" s="12">
        <v>5</v>
      </c>
      <c r="M57" s="12">
        <v>5</v>
      </c>
      <c r="N57" s="12">
        <v>3</v>
      </c>
      <c r="O57" s="12">
        <v>5</v>
      </c>
      <c r="P57" s="12">
        <v>3</v>
      </c>
      <c r="Q57" s="12">
        <v>5</v>
      </c>
      <c r="R57" s="12">
        <v>4</v>
      </c>
      <c r="S57" s="12">
        <v>5</v>
      </c>
      <c r="T57" s="12">
        <v>5</v>
      </c>
      <c r="U57" s="12">
        <v>5</v>
      </c>
      <c r="V57" s="12">
        <v>5</v>
      </c>
      <c r="W57" s="12">
        <v>4</v>
      </c>
      <c r="X57" s="12">
        <v>3</v>
      </c>
      <c r="Y57" s="12">
        <v>4</v>
      </c>
      <c r="Z57" s="12">
        <v>3</v>
      </c>
      <c r="AA57" s="12">
        <v>4</v>
      </c>
      <c r="AB57" s="13">
        <f t="shared" si="10"/>
        <v>68</v>
      </c>
      <c r="AC57" s="14"/>
    </row>
    <row r="58" ht="176" customHeight="1" spans="1:29">
      <c r="A58" s="15"/>
      <c r="B58" s="10" t="s">
        <v>108</v>
      </c>
      <c r="C58" s="11" t="s">
        <v>109</v>
      </c>
      <c r="D58" s="12">
        <v>5</v>
      </c>
      <c r="E58" s="12">
        <v>5</v>
      </c>
      <c r="F58" s="12">
        <v>5</v>
      </c>
      <c r="G58" s="12">
        <v>5</v>
      </c>
      <c r="H58" s="12">
        <v>5</v>
      </c>
      <c r="I58" s="12">
        <v>5</v>
      </c>
      <c r="J58" s="12">
        <v>5</v>
      </c>
      <c r="K58" s="13">
        <f t="shared" si="9"/>
        <v>35</v>
      </c>
      <c r="L58" s="12">
        <v>5</v>
      </c>
      <c r="M58" s="12">
        <v>5</v>
      </c>
      <c r="N58" s="12">
        <v>3</v>
      </c>
      <c r="O58" s="12">
        <v>5</v>
      </c>
      <c r="P58" s="12">
        <v>3</v>
      </c>
      <c r="Q58" s="12">
        <v>5</v>
      </c>
      <c r="R58" s="12">
        <v>4</v>
      </c>
      <c r="S58" s="12">
        <v>5</v>
      </c>
      <c r="T58" s="12">
        <v>5</v>
      </c>
      <c r="U58" s="12">
        <v>5</v>
      </c>
      <c r="V58" s="12">
        <v>5</v>
      </c>
      <c r="W58" s="12">
        <v>4</v>
      </c>
      <c r="X58" s="12">
        <v>3</v>
      </c>
      <c r="Y58" s="12">
        <v>4</v>
      </c>
      <c r="Z58" s="12">
        <v>3</v>
      </c>
      <c r="AA58" s="12">
        <v>4</v>
      </c>
      <c r="AB58" s="13">
        <f t="shared" si="10"/>
        <v>68</v>
      </c>
      <c r="AC58" s="14"/>
    </row>
    <row r="59" spans="1:29">
      <c r="D59">
        <f>AVERAGE(D45:D58)</f>
        <v>5</v>
      </c>
      <c r="E59">
        <f t="shared" ref="E59:AB59" si="11">AVERAGE(E45:E58)</f>
        <v>5</v>
      </c>
      <c r="F59">
        <f t="shared" si="11"/>
        <v>5</v>
      </c>
      <c r="G59">
        <f t="shared" si="11"/>
        <v>5</v>
      </c>
      <c r="H59">
        <f t="shared" si="11"/>
        <v>5</v>
      </c>
      <c r="I59">
        <f t="shared" si="11"/>
        <v>5</v>
      </c>
      <c r="J59">
        <f t="shared" si="11"/>
        <v>4.85714285714286</v>
      </c>
      <c r="K59">
        <f t="shared" si="11"/>
        <v>34.8571428571429</v>
      </c>
      <c r="L59">
        <f t="shared" si="11"/>
        <v>5</v>
      </c>
      <c r="M59">
        <f t="shared" si="11"/>
        <v>5</v>
      </c>
      <c r="N59">
        <f t="shared" si="11"/>
        <v>2.5</v>
      </c>
      <c r="O59">
        <f t="shared" si="11"/>
        <v>5</v>
      </c>
      <c r="P59">
        <f t="shared" si="11"/>
        <v>2.85714285714286</v>
      </c>
      <c r="Q59">
        <f t="shared" si="11"/>
        <v>5</v>
      </c>
      <c r="R59">
        <f t="shared" si="11"/>
        <v>4</v>
      </c>
      <c r="S59">
        <f t="shared" si="11"/>
        <v>5</v>
      </c>
      <c r="T59">
        <f t="shared" si="11"/>
        <v>5</v>
      </c>
      <c r="U59">
        <f t="shared" si="11"/>
        <v>5</v>
      </c>
      <c r="V59">
        <f t="shared" si="11"/>
        <v>5</v>
      </c>
      <c r="W59">
        <f t="shared" si="11"/>
        <v>3.14285714285714</v>
      </c>
      <c r="X59">
        <f t="shared" si="11"/>
        <v>2.85714285714286</v>
      </c>
      <c r="Y59">
        <f t="shared" si="11"/>
        <v>4</v>
      </c>
      <c r="Z59">
        <f t="shared" si="11"/>
        <v>3</v>
      </c>
      <c r="AA59">
        <f t="shared" si="11"/>
        <v>4.07142857142857</v>
      </c>
      <c r="AB59">
        <f t="shared" si="11"/>
        <v>66.4285714285714</v>
      </c>
    </row>
  </sheetData>
  <mergeCells count="6">
    <mergeCell ref="A1:AB1"/>
    <mergeCell ref="A3:A9"/>
    <mergeCell ref="A12:A18"/>
    <mergeCell ref="A20:A22"/>
    <mergeCell ref="A25:A42"/>
    <mergeCell ref="A45:A5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zoomScale="40" zoomScaleNormal="40" workbookViewId="0">
      <selection activeCell="AC1" sqref="AC$1:AC$1048576"/>
    </sheetView>
  </sheetViews>
  <sheetFormatPr defaultColWidth="9.02654867256637" defaultRowHeight="13.5"/>
  <cols>
    <col min="2" max="2" width="50.0530973451327" customWidth="1"/>
    <col min="3" max="3" width="56.8230088495575" customWidth="1"/>
    <col min="12" max="12" width="12.7964601769912"/>
    <col min="14" max="14" width="12.7964601769912"/>
    <col min="16" max="16" width="12.7964601769912"/>
    <col min="18" max="18" width="12.7964601769912"/>
    <col min="24" max="24" width="12.7964601769912"/>
    <col min="27" max="28" width="12.7964601769912"/>
  </cols>
  <sheetData>
    <row r="1" s="1" customFormat="1" spans="1:29">
      <c r="A1" s="2" t="s">
        <v>140</v>
      </c>
      <c r="B1" s="3"/>
      <c r="C1" s="3"/>
      <c r="D1" s="3"/>
      <c r="E1" s="3"/>
      <c r="F1" s="3"/>
      <c r="G1" s="3"/>
      <c r="H1" s="3"/>
      <c r="I1" s="3"/>
      <c r="J1" s="3"/>
      <c r="K1" s="4"/>
      <c r="L1" s="3"/>
      <c r="M1" s="3"/>
      <c r="N1" s="3"/>
      <c r="O1" s="3"/>
      <c r="P1" s="3"/>
      <c r="Q1" s="3"/>
      <c r="R1" s="3"/>
      <c r="S1" s="3"/>
      <c r="T1" s="3"/>
      <c r="U1" s="3"/>
      <c r="V1" s="3"/>
      <c r="W1" s="3"/>
      <c r="X1" s="3"/>
      <c r="Y1" s="3"/>
      <c r="Z1" s="3"/>
      <c r="AA1" s="3"/>
      <c r="AB1" s="4"/>
      <c r="AC1" s="3"/>
    </row>
    <row r="2" s="1" customFormat="1" spans="1:29">
      <c r="A2" s="5" t="s">
        <v>1</v>
      </c>
      <c r="B2" s="6" t="s">
        <v>2</v>
      </c>
      <c r="C2" s="7" t="s">
        <v>3</v>
      </c>
      <c r="D2" s="7" t="s">
        <v>4</v>
      </c>
      <c r="E2" s="7" t="s">
        <v>5</v>
      </c>
      <c r="F2" s="7" t="s">
        <v>6</v>
      </c>
      <c r="G2" s="7" t="s">
        <v>7</v>
      </c>
      <c r="H2" s="7" t="s">
        <v>8</v>
      </c>
      <c r="I2" s="7" t="s">
        <v>9</v>
      </c>
      <c r="J2" s="7" t="s">
        <v>10</v>
      </c>
      <c r="K2" s="8" t="s">
        <v>11</v>
      </c>
      <c r="L2" s="7" t="s">
        <v>4</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8" t="s">
        <v>27</v>
      </c>
      <c r="AC2" s="7"/>
    </row>
    <row r="3" ht="153" customHeight="1" spans="1:29">
      <c r="A3" s="9" t="s">
        <v>394</v>
      </c>
      <c r="B3" s="10" t="s">
        <v>193</v>
      </c>
      <c r="C3" s="11" t="s">
        <v>194</v>
      </c>
      <c r="D3" s="12">
        <v>5</v>
      </c>
      <c r="E3" s="12">
        <v>5</v>
      </c>
      <c r="F3" s="12">
        <v>5</v>
      </c>
      <c r="G3" s="12">
        <v>5</v>
      </c>
      <c r="H3" s="12">
        <v>5</v>
      </c>
      <c r="I3" s="12">
        <v>5</v>
      </c>
      <c r="J3" s="12">
        <v>5</v>
      </c>
      <c r="K3" s="13">
        <f t="shared" ref="K3:K12" si="0">SUM(D3:J3)</f>
        <v>35</v>
      </c>
      <c r="L3" s="12">
        <v>5</v>
      </c>
      <c r="M3" s="12">
        <v>5</v>
      </c>
      <c r="N3" s="12">
        <v>3</v>
      </c>
      <c r="O3" s="12">
        <v>5</v>
      </c>
      <c r="P3" s="12">
        <v>1</v>
      </c>
      <c r="Q3" s="12">
        <v>4</v>
      </c>
      <c r="R3" s="12">
        <v>4</v>
      </c>
      <c r="S3" s="12">
        <v>5</v>
      </c>
      <c r="T3" s="12">
        <v>5</v>
      </c>
      <c r="U3" s="12">
        <v>5</v>
      </c>
      <c r="V3" s="12">
        <v>5</v>
      </c>
      <c r="W3" s="12">
        <v>3</v>
      </c>
      <c r="X3" s="12">
        <v>1</v>
      </c>
      <c r="Y3" s="12">
        <v>4</v>
      </c>
      <c r="Z3" s="12">
        <v>3</v>
      </c>
      <c r="AA3" s="12">
        <v>4</v>
      </c>
      <c r="AB3" s="13">
        <f t="shared" ref="AB3:AB12" si="1">SUM(L3:AA3)</f>
        <v>62</v>
      </c>
      <c r="AC3" s="14"/>
    </row>
    <row r="4" ht="121.5" spans="1:29">
      <c r="A4" s="15"/>
      <c r="B4" s="10" t="s">
        <v>195</v>
      </c>
      <c r="C4" s="11" t="s">
        <v>196</v>
      </c>
      <c r="D4" s="12">
        <v>5</v>
      </c>
      <c r="E4" s="12">
        <v>5</v>
      </c>
      <c r="F4" s="12">
        <v>5</v>
      </c>
      <c r="G4" s="12">
        <v>5</v>
      </c>
      <c r="H4" s="12">
        <v>5</v>
      </c>
      <c r="I4" s="12">
        <v>5</v>
      </c>
      <c r="J4" s="12">
        <v>5</v>
      </c>
      <c r="K4" s="13">
        <f t="shared" si="0"/>
        <v>35</v>
      </c>
      <c r="L4" s="12">
        <v>5</v>
      </c>
      <c r="M4" s="12">
        <v>5</v>
      </c>
      <c r="N4" s="12">
        <v>3</v>
      </c>
      <c r="O4" s="12">
        <v>4</v>
      </c>
      <c r="P4" s="12">
        <v>1</v>
      </c>
      <c r="Q4" s="12">
        <v>4</v>
      </c>
      <c r="R4" s="12">
        <v>4</v>
      </c>
      <c r="S4" s="12">
        <v>3</v>
      </c>
      <c r="T4" s="12">
        <v>5</v>
      </c>
      <c r="U4" s="12">
        <v>5</v>
      </c>
      <c r="V4" s="12">
        <v>5</v>
      </c>
      <c r="W4" s="12">
        <v>3</v>
      </c>
      <c r="X4" s="12">
        <v>1</v>
      </c>
      <c r="Y4" s="12">
        <v>3</v>
      </c>
      <c r="Z4" s="12">
        <v>3</v>
      </c>
      <c r="AA4" s="12">
        <v>3</v>
      </c>
      <c r="AB4" s="13">
        <f t="shared" si="1"/>
        <v>57</v>
      </c>
      <c r="AC4" s="14"/>
    </row>
    <row r="5" ht="153" customHeight="1" spans="1:29">
      <c r="A5" s="15"/>
      <c r="B5" s="10" t="s">
        <v>197</v>
      </c>
      <c r="C5" s="11" t="s">
        <v>198</v>
      </c>
      <c r="D5" s="12">
        <v>5</v>
      </c>
      <c r="E5" s="12">
        <v>5</v>
      </c>
      <c r="F5" s="12">
        <v>5</v>
      </c>
      <c r="G5" s="12">
        <v>5</v>
      </c>
      <c r="H5" s="12">
        <v>5</v>
      </c>
      <c r="I5" s="12">
        <v>5</v>
      </c>
      <c r="J5" s="12">
        <v>5</v>
      </c>
      <c r="K5" s="13">
        <f t="shared" si="0"/>
        <v>35</v>
      </c>
      <c r="L5" s="12">
        <v>5</v>
      </c>
      <c r="M5" s="12">
        <v>5</v>
      </c>
      <c r="N5" s="12">
        <v>3</v>
      </c>
      <c r="O5" s="12">
        <v>4</v>
      </c>
      <c r="P5" s="12">
        <v>3</v>
      </c>
      <c r="Q5" s="12">
        <v>4</v>
      </c>
      <c r="R5" s="12">
        <v>4</v>
      </c>
      <c r="S5" s="12">
        <v>3</v>
      </c>
      <c r="T5" s="12">
        <v>5</v>
      </c>
      <c r="U5" s="12">
        <v>5</v>
      </c>
      <c r="V5" s="12">
        <v>5</v>
      </c>
      <c r="W5" s="12">
        <v>4</v>
      </c>
      <c r="X5" s="12">
        <v>2</v>
      </c>
      <c r="Y5" s="12">
        <v>4</v>
      </c>
      <c r="Z5" s="12">
        <v>3</v>
      </c>
      <c r="AA5" s="12">
        <v>4</v>
      </c>
      <c r="AB5" s="13">
        <f t="shared" si="1"/>
        <v>63</v>
      </c>
      <c r="AC5" s="14"/>
    </row>
    <row r="6" ht="94" customHeight="1" spans="1:29">
      <c r="A6" s="15"/>
      <c r="B6" s="10" t="s">
        <v>199</v>
      </c>
      <c r="C6" s="11" t="s">
        <v>200</v>
      </c>
      <c r="D6" s="12">
        <v>5</v>
      </c>
      <c r="E6" s="12">
        <v>5</v>
      </c>
      <c r="F6" s="12">
        <v>5</v>
      </c>
      <c r="G6" s="12">
        <v>5</v>
      </c>
      <c r="H6" s="12">
        <v>5</v>
      </c>
      <c r="I6" s="12">
        <v>5</v>
      </c>
      <c r="J6" s="12">
        <v>5</v>
      </c>
      <c r="K6" s="13">
        <f t="shared" si="0"/>
        <v>35</v>
      </c>
      <c r="L6" s="12">
        <v>5</v>
      </c>
      <c r="M6" s="12">
        <v>4</v>
      </c>
      <c r="N6" s="12">
        <v>3</v>
      </c>
      <c r="O6" s="12">
        <v>5</v>
      </c>
      <c r="P6" s="12">
        <v>2</v>
      </c>
      <c r="Q6" s="12">
        <v>4</v>
      </c>
      <c r="R6" s="12">
        <v>4</v>
      </c>
      <c r="S6" s="12">
        <v>5</v>
      </c>
      <c r="T6" s="12">
        <v>5</v>
      </c>
      <c r="U6" s="12">
        <v>5</v>
      </c>
      <c r="V6" s="12">
        <v>5</v>
      </c>
      <c r="W6" s="12">
        <v>4</v>
      </c>
      <c r="X6" s="12">
        <v>1</v>
      </c>
      <c r="Y6" s="12">
        <v>4</v>
      </c>
      <c r="Z6" s="12">
        <v>3</v>
      </c>
      <c r="AA6" s="12">
        <v>4</v>
      </c>
      <c r="AB6" s="13">
        <f t="shared" si="1"/>
        <v>63</v>
      </c>
      <c r="AC6" s="14"/>
    </row>
    <row r="7" ht="116" customHeight="1" spans="1:29">
      <c r="A7" s="15"/>
      <c r="B7" s="10" t="s">
        <v>201</v>
      </c>
      <c r="C7" s="11" t="s">
        <v>202</v>
      </c>
      <c r="D7" s="12">
        <v>5</v>
      </c>
      <c r="E7" s="12">
        <v>5</v>
      </c>
      <c r="F7" s="12">
        <v>5</v>
      </c>
      <c r="G7" s="12">
        <v>5</v>
      </c>
      <c r="H7" s="12">
        <v>5</v>
      </c>
      <c r="I7" s="12">
        <v>5</v>
      </c>
      <c r="J7" s="12">
        <v>5</v>
      </c>
      <c r="K7" s="13">
        <f t="shared" si="0"/>
        <v>35</v>
      </c>
      <c r="L7" s="12">
        <v>5</v>
      </c>
      <c r="M7" s="12">
        <v>5</v>
      </c>
      <c r="N7" s="12">
        <v>3</v>
      </c>
      <c r="O7" s="12">
        <v>4</v>
      </c>
      <c r="P7" s="12">
        <v>2</v>
      </c>
      <c r="Q7" s="12">
        <v>4</v>
      </c>
      <c r="R7" s="12">
        <v>4</v>
      </c>
      <c r="S7" s="12">
        <v>3</v>
      </c>
      <c r="T7" s="12">
        <v>5</v>
      </c>
      <c r="U7" s="12">
        <v>5</v>
      </c>
      <c r="V7" s="12">
        <v>5</v>
      </c>
      <c r="W7" s="12">
        <v>4</v>
      </c>
      <c r="X7" s="12">
        <v>1</v>
      </c>
      <c r="Y7" s="12">
        <v>3</v>
      </c>
      <c r="Z7" s="12">
        <v>3</v>
      </c>
      <c r="AA7" s="12">
        <v>3</v>
      </c>
      <c r="AB7" s="13">
        <f t="shared" si="1"/>
        <v>59</v>
      </c>
      <c r="AC7" s="14"/>
    </row>
    <row r="8" ht="96" customHeight="1" spans="1:29">
      <c r="A8" s="15"/>
      <c r="B8" s="10" t="s">
        <v>203</v>
      </c>
      <c r="C8" s="11" t="s">
        <v>204</v>
      </c>
      <c r="D8" s="12">
        <v>5</v>
      </c>
      <c r="E8" s="12">
        <v>5</v>
      </c>
      <c r="F8" s="12">
        <v>5</v>
      </c>
      <c r="G8" s="12">
        <v>5</v>
      </c>
      <c r="H8" s="12">
        <v>5</v>
      </c>
      <c r="I8" s="12">
        <v>5</v>
      </c>
      <c r="J8" s="12">
        <v>5</v>
      </c>
      <c r="K8" s="13">
        <f t="shared" si="0"/>
        <v>35</v>
      </c>
      <c r="L8" s="12">
        <v>5</v>
      </c>
      <c r="M8" s="12">
        <v>5</v>
      </c>
      <c r="N8" s="12">
        <v>3</v>
      </c>
      <c r="O8" s="12">
        <v>4</v>
      </c>
      <c r="P8" s="12">
        <v>2</v>
      </c>
      <c r="Q8" s="12">
        <v>4</v>
      </c>
      <c r="R8" s="12">
        <v>4</v>
      </c>
      <c r="S8" s="12">
        <v>3</v>
      </c>
      <c r="T8" s="12">
        <v>5</v>
      </c>
      <c r="U8" s="12">
        <v>5</v>
      </c>
      <c r="V8" s="12">
        <v>5</v>
      </c>
      <c r="W8" s="12">
        <v>4</v>
      </c>
      <c r="X8" s="12">
        <v>2</v>
      </c>
      <c r="Y8" s="12">
        <v>4</v>
      </c>
      <c r="Z8" s="12">
        <v>3</v>
      </c>
      <c r="AA8" s="12">
        <v>4</v>
      </c>
      <c r="AB8" s="13">
        <f t="shared" si="1"/>
        <v>62</v>
      </c>
      <c r="AC8" s="14"/>
    </row>
    <row r="9" ht="118" customHeight="1" spans="1:29">
      <c r="A9" s="15"/>
      <c r="B9" s="10" t="s">
        <v>205</v>
      </c>
      <c r="C9" s="11" t="s">
        <v>206</v>
      </c>
      <c r="D9" s="12">
        <v>5</v>
      </c>
      <c r="E9" s="12">
        <v>5</v>
      </c>
      <c r="F9" s="12">
        <v>4</v>
      </c>
      <c r="G9" s="12">
        <v>5</v>
      </c>
      <c r="H9" s="12">
        <v>5</v>
      </c>
      <c r="I9" s="12">
        <v>5</v>
      </c>
      <c r="J9" s="12">
        <v>5</v>
      </c>
      <c r="K9" s="13">
        <f t="shared" si="0"/>
        <v>34</v>
      </c>
      <c r="L9" s="12">
        <v>5</v>
      </c>
      <c r="M9" s="12">
        <v>4</v>
      </c>
      <c r="N9" s="12">
        <v>2</v>
      </c>
      <c r="O9" s="12">
        <v>5</v>
      </c>
      <c r="P9" s="12">
        <v>1</v>
      </c>
      <c r="Q9" s="12">
        <v>4</v>
      </c>
      <c r="R9" s="12">
        <v>4</v>
      </c>
      <c r="S9" s="12">
        <v>5</v>
      </c>
      <c r="T9" s="12">
        <v>5</v>
      </c>
      <c r="U9" s="12">
        <v>5</v>
      </c>
      <c r="V9" s="12">
        <v>5</v>
      </c>
      <c r="W9" s="12">
        <v>4</v>
      </c>
      <c r="X9" s="12">
        <v>1</v>
      </c>
      <c r="Y9" s="12">
        <v>4</v>
      </c>
      <c r="Z9" s="12">
        <v>3</v>
      </c>
      <c r="AA9" s="12">
        <v>4</v>
      </c>
      <c r="AB9" s="13">
        <f t="shared" si="1"/>
        <v>61</v>
      </c>
      <c r="AC9" s="14"/>
    </row>
    <row r="10" ht="81" spans="1:29">
      <c r="A10" s="15"/>
      <c r="B10" s="10" t="s">
        <v>296</v>
      </c>
      <c r="C10" s="11" t="s">
        <v>297</v>
      </c>
      <c r="D10" s="12">
        <v>5</v>
      </c>
      <c r="E10" s="12">
        <v>5</v>
      </c>
      <c r="F10" s="12">
        <v>5</v>
      </c>
      <c r="G10" s="12">
        <v>5</v>
      </c>
      <c r="H10" s="12">
        <v>5</v>
      </c>
      <c r="I10" s="12">
        <v>5</v>
      </c>
      <c r="J10" s="12">
        <v>5</v>
      </c>
      <c r="K10" s="13">
        <f t="shared" si="0"/>
        <v>35</v>
      </c>
      <c r="L10" s="12">
        <v>5</v>
      </c>
      <c r="M10" s="12">
        <v>5</v>
      </c>
      <c r="N10" s="12">
        <v>3</v>
      </c>
      <c r="O10" s="12">
        <v>4</v>
      </c>
      <c r="P10" s="12">
        <v>1</v>
      </c>
      <c r="Q10" s="12">
        <v>4</v>
      </c>
      <c r="R10" s="12">
        <v>4</v>
      </c>
      <c r="S10" s="12">
        <v>3</v>
      </c>
      <c r="T10" s="12">
        <v>5</v>
      </c>
      <c r="U10" s="12">
        <v>5</v>
      </c>
      <c r="V10" s="12">
        <v>5</v>
      </c>
      <c r="W10" s="12">
        <v>4</v>
      </c>
      <c r="X10" s="12">
        <v>1</v>
      </c>
      <c r="Y10" s="12">
        <v>3</v>
      </c>
      <c r="Z10" s="12">
        <v>3</v>
      </c>
      <c r="AA10" s="12">
        <v>3</v>
      </c>
      <c r="AB10" s="13">
        <f t="shared" si="1"/>
        <v>58</v>
      </c>
      <c r="AC10" s="14"/>
    </row>
    <row r="11" ht="101" customHeight="1" spans="1:29">
      <c r="A11" s="15"/>
      <c r="B11" s="10" t="s">
        <v>298</v>
      </c>
      <c r="C11" s="11" t="s">
        <v>299</v>
      </c>
      <c r="D11" s="12">
        <v>5</v>
      </c>
      <c r="E11" s="12">
        <v>5</v>
      </c>
      <c r="F11" s="12">
        <v>5</v>
      </c>
      <c r="G11" s="12">
        <v>5</v>
      </c>
      <c r="H11" s="12">
        <v>5</v>
      </c>
      <c r="I11" s="12">
        <v>5</v>
      </c>
      <c r="J11" s="12">
        <v>5</v>
      </c>
      <c r="K11" s="13">
        <f t="shared" si="0"/>
        <v>35</v>
      </c>
      <c r="L11" s="12">
        <v>5</v>
      </c>
      <c r="M11" s="12">
        <v>5</v>
      </c>
      <c r="N11" s="12">
        <v>3</v>
      </c>
      <c r="O11" s="12">
        <v>4</v>
      </c>
      <c r="P11" s="12">
        <v>1</v>
      </c>
      <c r="Q11" s="12">
        <v>4</v>
      </c>
      <c r="R11" s="12">
        <v>4</v>
      </c>
      <c r="S11" s="12">
        <v>3</v>
      </c>
      <c r="T11" s="12">
        <v>5</v>
      </c>
      <c r="U11" s="12">
        <v>5</v>
      </c>
      <c r="V11" s="12">
        <v>5</v>
      </c>
      <c r="W11" s="12">
        <v>4</v>
      </c>
      <c r="X11" s="12">
        <v>1</v>
      </c>
      <c r="Y11" s="12">
        <v>3</v>
      </c>
      <c r="Z11" s="12">
        <v>3</v>
      </c>
      <c r="AA11" s="12">
        <v>3</v>
      </c>
      <c r="AB11" s="13">
        <f t="shared" si="1"/>
        <v>58</v>
      </c>
      <c r="AC11" s="14"/>
    </row>
    <row r="12" ht="108" spans="1:29">
      <c r="A12" s="15"/>
      <c r="B12" s="10" t="s">
        <v>300</v>
      </c>
      <c r="C12" s="11" t="s">
        <v>301</v>
      </c>
      <c r="D12" s="12">
        <v>5</v>
      </c>
      <c r="E12" s="12">
        <v>5</v>
      </c>
      <c r="F12" s="12">
        <v>5</v>
      </c>
      <c r="G12" s="12">
        <v>5</v>
      </c>
      <c r="H12" s="12">
        <v>5</v>
      </c>
      <c r="I12" s="12">
        <v>5</v>
      </c>
      <c r="J12" s="12">
        <v>5</v>
      </c>
      <c r="K12" s="13">
        <f t="shared" si="0"/>
        <v>35</v>
      </c>
      <c r="L12" s="12">
        <v>5</v>
      </c>
      <c r="M12" s="12">
        <v>5</v>
      </c>
      <c r="N12" s="12">
        <v>3</v>
      </c>
      <c r="O12" s="12">
        <v>4</v>
      </c>
      <c r="P12" s="12">
        <v>1</v>
      </c>
      <c r="Q12" s="12">
        <v>4</v>
      </c>
      <c r="R12" s="12">
        <v>4</v>
      </c>
      <c r="S12" s="12">
        <v>3</v>
      </c>
      <c r="T12" s="12">
        <v>5</v>
      </c>
      <c r="U12" s="12">
        <v>5</v>
      </c>
      <c r="V12" s="12">
        <v>5</v>
      </c>
      <c r="W12" s="12">
        <v>4</v>
      </c>
      <c r="X12" s="12">
        <v>1</v>
      </c>
      <c r="Y12" s="12">
        <v>3</v>
      </c>
      <c r="Z12" s="12">
        <v>3</v>
      </c>
      <c r="AA12" s="12">
        <v>3</v>
      </c>
      <c r="AB12" s="13">
        <f t="shared" si="1"/>
        <v>58</v>
      </c>
      <c r="AC12" s="14"/>
    </row>
    <row r="13" spans="1:29">
      <c r="D13">
        <f>AVERAGE(D3:D12)</f>
        <v>5</v>
      </c>
      <c r="E13">
        <f t="shared" ref="E13:AB13" si="2">AVERAGE(E3:E12)</f>
        <v>5</v>
      </c>
      <c r="F13">
        <f t="shared" si="2"/>
        <v>4.9</v>
      </c>
      <c r="G13">
        <f t="shared" si="2"/>
        <v>5</v>
      </c>
      <c r="H13">
        <f t="shared" si="2"/>
        <v>5</v>
      </c>
      <c r="I13">
        <f t="shared" si="2"/>
        <v>5</v>
      </c>
      <c r="J13">
        <f t="shared" si="2"/>
        <v>5</v>
      </c>
      <c r="K13">
        <f t="shared" si="2"/>
        <v>34.9</v>
      </c>
      <c r="L13">
        <f t="shared" si="2"/>
        <v>5</v>
      </c>
      <c r="M13">
        <f t="shared" si="2"/>
        <v>4.8</v>
      </c>
      <c r="N13">
        <f t="shared" si="2"/>
        <v>2.9</v>
      </c>
      <c r="O13">
        <f t="shared" si="2"/>
        <v>4.3</v>
      </c>
      <c r="P13">
        <f t="shared" si="2"/>
        <v>1.5</v>
      </c>
      <c r="Q13">
        <f t="shared" si="2"/>
        <v>4</v>
      </c>
      <c r="R13">
        <f t="shared" si="2"/>
        <v>4</v>
      </c>
      <c r="S13">
        <f t="shared" si="2"/>
        <v>3.6</v>
      </c>
      <c r="T13">
        <f t="shared" si="2"/>
        <v>5</v>
      </c>
      <c r="U13">
        <f t="shared" si="2"/>
        <v>5</v>
      </c>
      <c r="V13">
        <f t="shared" si="2"/>
        <v>5</v>
      </c>
      <c r="W13">
        <f t="shared" si="2"/>
        <v>3.8</v>
      </c>
      <c r="X13">
        <f t="shared" si="2"/>
        <v>1.2</v>
      </c>
      <c r="Y13">
        <f t="shared" si="2"/>
        <v>3.5</v>
      </c>
      <c r="Z13">
        <f t="shared" si="2"/>
        <v>3</v>
      </c>
      <c r="AA13">
        <f t="shared" si="2"/>
        <v>3.5</v>
      </c>
      <c r="AB13">
        <f t="shared" si="2"/>
        <v>60.1</v>
      </c>
    </row>
    <row r="15" ht="135" spans="1:29">
      <c r="A15" s="16" t="s">
        <v>395</v>
      </c>
      <c r="B15" s="17" t="s">
        <v>270</v>
      </c>
      <c r="C15" s="11" t="s">
        <v>271</v>
      </c>
      <c r="D15" s="12">
        <v>5</v>
      </c>
      <c r="E15" s="12">
        <v>5</v>
      </c>
      <c r="F15" s="12">
        <v>4</v>
      </c>
      <c r="G15" s="12">
        <v>5</v>
      </c>
      <c r="H15" s="12">
        <v>5</v>
      </c>
      <c r="I15" s="12">
        <v>5</v>
      </c>
      <c r="J15" s="12">
        <v>5</v>
      </c>
      <c r="K15" s="13">
        <f t="shared" ref="K15:K31" si="3">SUM(D15:J15)</f>
        <v>34</v>
      </c>
      <c r="L15" s="12">
        <v>5</v>
      </c>
      <c r="M15" s="12">
        <v>5</v>
      </c>
      <c r="N15" s="12">
        <v>2</v>
      </c>
      <c r="O15" s="12">
        <v>5</v>
      </c>
      <c r="P15" s="12">
        <v>2</v>
      </c>
      <c r="Q15" s="12">
        <v>5</v>
      </c>
      <c r="R15" s="12">
        <v>4</v>
      </c>
      <c r="S15" s="12">
        <v>5</v>
      </c>
      <c r="T15" s="12">
        <v>5</v>
      </c>
      <c r="U15" s="12">
        <v>5</v>
      </c>
      <c r="V15" s="12">
        <v>5</v>
      </c>
      <c r="W15" s="12">
        <v>4</v>
      </c>
      <c r="X15" s="12">
        <v>2</v>
      </c>
      <c r="Y15" s="12">
        <v>4</v>
      </c>
      <c r="Z15" s="12">
        <v>3</v>
      </c>
      <c r="AA15" s="12">
        <v>5</v>
      </c>
      <c r="AB15" s="13">
        <f t="shared" ref="AB15:AB31" si="4">SUM(L15:AA15)</f>
        <v>66</v>
      </c>
      <c r="AC15" s="14"/>
    </row>
    <row r="16" ht="121.5" spans="1:29">
      <c r="A16" s="16"/>
      <c r="B16" s="17" t="s">
        <v>272</v>
      </c>
      <c r="C16" s="11" t="s">
        <v>273</v>
      </c>
      <c r="D16" s="12">
        <v>5</v>
      </c>
      <c r="E16" s="12">
        <v>5</v>
      </c>
      <c r="F16" s="12">
        <v>5</v>
      </c>
      <c r="G16" s="12">
        <v>5</v>
      </c>
      <c r="H16" s="12">
        <v>5</v>
      </c>
      <c r="I16" s="12">
        <v>5</v>
      </c>
      <c r="J16" s="12">
        <v>5</v>
      </c>
      <c r="K16" s="13">
        <f t="shared" si="3"/>
        <v>35</v>
      </c>
      <c r="L16" s="12">
        <v>5</v>
      </c>
      <c r="M16" s="12">
        <v>5</v>
      </c>
      <c r="N16" s="12">
        <v>2</v>
      </c>
      <c r="O16" s="12">
        <v>5</v>
      </c>
      <c r="P16" s="12">
        <v>2</v>
      </c>
      <c r="Q16" s="12">
        <v>5</v>
      </c>
      <c r="R16" s="12">
        <v>4</v>
      </c>
      <c r="S16" s="12">
        <v>5</v>
      </c>
      <c r="T16" s="12">
        <v>5</v>
      </c>
      <c r="U16" s="12">
        <v>5</v>
      </c>
      <c r="V16" s="12">
        <v>5</v>
      </c>
      <c r="W16" s="12">
        <v>4</v>
      </c>
      <c r="X16" s="12">
        <v>2</v>
      </c>
      <c r="Y16" s="12">
        <v>4</v>
      </c>
      <c r="Z16" s="12">
        <v>3</v>
      </c>
      <c r="AA16" s="12">
        <v>5</v>
      </c>
      <c r="AB16" s="13">
        <f t="shared" si="4"/>
        <v>66</v>
      </c>
      <c r="AC16" s="14"/>
    </row>
    <row r="17" ht="121.5" spans="1:29">
      <c r="A17" s="16"/>
      <c r="B17" s="17" t="s">
        <v>274</v>
      </c>
      <c r="C17" s="11" t="s">
        <v>275</v>
      </c>
      <c r="D17" s="12">
        <v>5</v>
      </c>
      <c r="E17" s="12">
        <v>5</v>
      </c>
      <c r="F17" s="12">
        <v>5</v>
      </c>
      <c r="G17" s="12">
        <v>5</v>
      </c>
      <c r="H17" s="12">
        <v>5</v>
      </c>
      <c r="I17" s="12">
        <v>5</v>
      </c>
      <c r="J17" s="12">
        <v>5</v>
      </c>
      <c r="K17" s="13">
        <f t="shared" si="3"/>
        <v>35</v>
      </c>
      <c r="L17" s="12">
        <v>5</v>
      </c>
      <c r="M17" s="12">
        <v>5</v>
      </c>
      <c r="N17" s="12">
        <v>2</v>
      </c>
      <c r="O17" s="12">
        <v>5</v>
      </c>
      <c r="P17" s="12">
        <v>2</v>
      </c>
      <c r="Q17" s="12">
        <v>5</v>
      </c>
      <c r="R17" s="12">
        <v>4</v>
      </c>
      <c r="S17" s="12">
        <v>3</v>
      </c>
      <c r="T17" s="12">
        <v>5</v>
      </c>
      <c r="U17" s="12">
        <v>5</v>
      </c>
      <c r="V17" s="12">
        <v>5</v>
      </c>
      <c r="W17" s="12">
        <v>4</v>
      </c>
      <c r="X17" s="12">
        <v>2</v>
      </c>
      <c r="Y17" s="12">
        <v>3</v>
      </c>
      <c r="Z17" s="12">
        <v>3</v>
      </c>
      <c r="AA17" s="12">
        <v>5</v>
      </c>
      <c r="AB17" s="13">
        <f t="shared" si="4"/>
        <v>63</v>
      </c>
      <c r="AC17" s="14"/>
    </row>
    <row r="18" ht="108" spans="1:29">
      <c r="A18" s="16"/>
      <c r="B18" s="17" t="s">
        <v>324</v>
      </c>
      <c r="C18" s="11" t="s">
        <v>325</v>
      </c>
      <c r="D18" s="12">
        <v>5</v>
      </c>
      <c r="E18" s="12">
        <v>5</v>
      </c>
      <c r="F18" s="12">
        <v>5</v>
      </c>
      <c r="G18" s="12">
        <v>5</v>
      </c>
      <c r="H18" s="12">
        <v>5</v>
      </c>
      <c r="I18" s="12">
        <v>5</v>
      </c>
      <c r="J18" s="12">
        <v>5</v>
      </c>
      <c r="K18" s="13">
        <f t="shared" si="3"/>
        <v>35</v>
      </c>
      <c r="L18" s="12">
        <v>5</v>
      </c>
      <c r="M18" s="12">
        <v>5</v>
      </c>
      <c r="N18" s="12">
        <v>3</v>
      </c>
      <c r="O18" s="12">
        <v>5</v>
      </c>
      <c r="P18" s="12">
        <v>3</v>
      </c>
      <c r="Q18" s="12">
        <v>4</v>
      </c>
      <c r="R18" s="12">
        <v>4</v>
      </c>
      <c r="S18" s="12">
        <v>5</v>
      </c>
      <c r="T18" s="12">
        <v>5</v>
      </c>
      <c r="U18" s="12">
        <v>5</v>
      </c>
      <c r="V18" s="12">
        <v>5</v>
      </c>
      <c r="W18" s="12">
        <v>4</v>
      </c>
      <c r="X18" s="12">
        <v>3</v>
      </c>
      <c r="Y18" s="12">
        <v>4</v>
      </c>
      <c r="Z18" s="12">
        <v>3</v>
      </c>
      <c r="AA18" s="12">
        <v>4</v>
      </c>
      <c r="AB18" s="13">
        <f t="shared" si="4"/>
        <v>67</v>
      </c>
      <c r="AC18" s="14"/>
    </row>
    <row r="19" ht="135" spans="1:29">
      <c r="A19" s="16"/>
      <c r="B19" s="17" t="s">
        <v>326</v>
      </c>
      <c r="C19" s="11" t="s">
        <v>327</v>
      </c>
      <c r="D19" s="12">
        <v>5</v>
      </c>
      <c r="E19" s="12">
        <v>5</v>
      </c>
      <c r="F19" s="12">
        <v>5</v>
      </c>
      <c r="G19" s="12">
        <v>5</v>
      </c>
      <c r="H19" s="12">
        <v>5</v>
      </c>
      <c r="I19" s="12">
        <v>5</v>
      </c>
      <c r="J19" s="12">
        <v>5</v>
      </c>
      <c r="K19" s="13">
        <f t="shared" si="3"/>
        <v>35</v>
      </c>
      <c r="L19" s="12">
        <v>5</v>
      </c>
      <c r="M19" s="12">
        <v>5</v>
      </c>
      <c r="N19" s="12">
        <v>3</v>
      </c>
      <c r="O19" s="12">
        <v>5</v>
      </c>
      <c r="P19" s="12">
        <v>3</v>
      </c>
      <c r="Q19" s="12">
        <v>4</v>
      </c>
      <c r="R19" s="12">
        <v>4</v>
      </c>
      <c r="S19" s="12">
        <v>5</v>
      </c>
      <c r="T19" s="12">
        <v>5</v>
      </c>
      <c r="U19" s="12">
        <v>5</v>
      </c>
      <c r="V19" s="12">
        <v>5</v>
      </c>
      <c r="W19" s="12">
        <v>4</v>
      </c>
      <c r="X19" s="12">
        <v>3</v>
      </c>
      <c r="Y19" s="12">
        <v>4</v>
      </c>
      <c r="Z19" s="12">
        <v>3</v>
      </c>
      <c r="AA19" s="12">
        <v>4</v>
      </c>
      <c r="AB19" s="13">
        <f t="shared" si="4"/>
        <v>67</v>
      </c>
      <c r="AC19" s="14"/>
    </row>
    <row r="20" ht="108" spans="1:29">
      <c r="A20" s="16"/>
      <c r="B20" s="17" t="s">
        <v>328</v>
      </c>
      <c r="C20" s="11" t="s">
        <v>329</v>
      </c>
      <c r="D20" s="12">
        <v>5</v>
      </c>
      <c r="E20" s="12">
        <v>5</v>
      </c>
      <c r="F20" s="12">
        <v>5</v>
      </c>
      <c r="G20" s="12">
        <v>5</v>
      </c>
      <c r="H20" s="12">
        <v>5</v>
      </c>
      <c r="I20" s="12">
        <v>5</v>
      </c>
      <c r="J20" s="12">
        <v>5</v>
      </c>
      <c r="K20" s="13">
        <f t="shared" si="3"/>
        <v>35</v>
      </c>
      <c r="L20" s="12">
        <v>5</v>
      </c>
      <c r="M20" s="12">
        <v>5</v>
      </c>
      <c r="N20" s="12">
        <v>3</v>
      </c>
      <c r="O20" s="12">
        <v>5</v>
      </c>
      <c r="P20" s="12">
        <v>3</v>
      </c>
      <c r="Q20" s="12">
        <v>4</v>
      </c>
      <c r="R20" s="12">
        <v>4</v>
      </c>
      <c r="S20" s="12">
        <v>5</v>
      </c>
      <c r="T20" s="12">
        <v>5</v>
      </c>
      <c r="U20" s="12">
        <v>5</v>
      </c>
      <c r="V20" s="12">
        <v>5</v>
      </c>
      <c r="W20" s="12">
        <v>4</v>
      </c>
      <c r="X20" s="12">
        <v>3</v>
      </c>
      <c r="Y20" s="12">
        <v>4</v>
      </c>
      <c r="Z20" s="12">
        <v>3</v>
      </c>
      <c r="AA20" s="12">
        <v>4</v>
      </c>
      <c r="AB20" s="13">
        <f t="shared" si="4"/>
        <v>67</v>
      </c>
      <c r="AC20" s="14"/>
    </row>
    <row r="21" ht="108" spans="1:29">
      <c r="A21" s="18"/>
      <c r="B21" s="17" t="s">
        <v>277</v>
      </c>
      <c r="C21" s="11" t="s">
        <v>278</v>
      </c>
      <c r="D21" s="12">
        <v>5</v>
      </c>
      <c r="E21" s="12">
        <v>5</v>
      </c>
      <c r="F21" s="12">
        <v>4</v>
      </c>
      <c r="G21" s="12">
        <v>5</v>
      </c>
      <c r="H21" s="12">
        <v>5</v>
      </c>
      <c r="I21" s="12">
        <v>5</v>
      </c>
      <c r="J21" s="12">
        <v>5</v>
      </c>
      <c r="K21" s="13">
        <f t="shared" si="3"/>
        <v>34</v>
      </c>
      <c r="L21" s="12">
        <v>5</v>
      </c>
      <c r="M21" s="12">
        <v>5</v>
      </c>
      <c r="N21" s="12">
        <v>4</v>
      </c>
      <c r="O21" s="12">
        <v>5</v>
      </c>
      <c r="P21" s="12">
        <v>2</v>
      </c>
      <c r="Q21" s="12">
        <v>4</v>
      </c>
      <c r="R21" s="12">
        <v>4</v>
      </c>
      <c r="S21" s="12">
        <v>1</v>
      </c>
      <c r="T21" s="12">
        <v>5</v>
      </c>
      <c r="U21" s="12">
        <v>5</v>
      </c>
      <c r="V21" s="12">
        <v>5</v>
      </c>
      <c r="W21" s="12">
        <v>4</v>
      </c>
      <c r="X21" s="12">
        <v>2</v>
      </c>
      <c r="Y21" s="12">
        <v>3</v>
      </c>
      <c r="Z21" s="12">
        <v>3</v>
      </c>
      <c r="AA21" s="12">
        <v>3</v>
      </c>
      <c r="AB21" s="13">
        <f t="shared" si="4"/>
        <v>60</v>
      </c>
      <c r="AC21" s="14"/>
    </row>
    <row r="22" customFormat="1" ht="195" customHeight="1" spans="1:29">
      <c r="A22" s="19"/>
      <c r="B22" s="17" t="s">
        <v>279</v>
      </c>
      <c r="C22" s="11" t="s">
        <v>280</v>
      </c>
      <c r="D22" s="12">
        <v>5</v>
      </c>
      <c r="E22" s="12">
        <v>5</v>
      </c>
      <c r="F22" s="12">
        <v>5</v>
      </c>
      <c r="G22" s="12">
        <v>5</v>
      </c>
      <c r="H22" s="12">
        <v>5</v>
      </c>
      <c r="I22" s="12">
        <v>5</v>
      </c>
      <c r="J22" s="12">
        <v>5</v>
      </c>
      <c r="K22" s="13">
        <f t="shared" si="3"/>
        <v>35</v>
      </c>
      <c r="L22" s="12">
        <v>5</v>
      </c>
      <c r="M22" s="12">
        <v>5</v>
      </c>
      <c r="N22" s="12">
        <v>2</v>
      </c>
      <c r="O22" s="12">
        <v>5</v>
      </c>
      <c r="P22" s="12">
        <v>2</v>
      </c>
      <c r="Q22" s="12">
        <v>4</v>
      </c>
      <c r="R22" s="12">
        <v>4</v>
      </c>
      <c r="S22" s="12">
        <v>3</v>
      </c>
      <c r="T22" s="12">
        <v>5</v>
      </c>
      <c r="U22" s="12">
        <v>5</v>
      </c>
      <c r="V22" s="12">
        <v>5</v>
      </c>
      <c r="W22" s="12">
        <v>4</v>
      </c>
      <c r="X22" s="12">
        <v>2</v>
      </c>
      <c r="Y22" s="12">
        <v>4</v>
      </c>
      <c r="Z22" s="12">
        <v>3</v>
      </c>
      <c r="AA22" s="12">
        <v>3</v>
      </c>
      <c r="AB22" s="13">
        <f t="shared" si="4"/>
        <v>61</v>
      </c>
      <c r="AC22" s="14"/>
    </row>
    <row r="23" customFormat="1" ht="223" customHeight="1" spans="1:29">
      <c r="A23" s="19"/>
      <c r="B23" s="17" t="s">
        <v>281</v>
      </c>
      <c r="C23" s="11" t="s">
        <v>282</v>
      </c>
      <c r="D23" s="12">
        <v>5</v>
      </c>
      <c r="E23" s="12">
        <v>5</v>
      </c>
      <c r="F23" s="12">
        <v>5</v>
      </c>
      <c r="G23" s="12">
        <v>5</v>
      </c>
      <c r="H23" s="12">
        <v>5</v>
      </c>
      <c r="I23" s="12">
        <v>5</v>
      </c>
      <c r="J23" s="12">
        <v>5</v>
      </c>
      <c r="K23" s="13">
        <f t="shared" si="3"/>
        <v>35</v>
      </c>
      <c r="L23" s="12">
        <v>5</v>
      </c>
      <c r="M23" s="12">
        <v>5</v>
      </c>
      <c r="N23" s="12">
        <v>2</v>
      </c>
      <c r="O23" s="12">
        <v>5</v>
      </c>
      <c r="P23" s="12">
        <v>4</v>
      </c>
      <c r="Q23" s="12">
        <v>4</v>
      </c>
      <c r="R23" s="12">
        <v>4</v>
      </c>
      <c r="S23" s="12">
        <v>3</v>
      </c>
      <c r="T23" s="12">
        <v>5</v>
      </c>
      <c r="U23" s="12">
        <v>3</v>
      </c>
      <c r="V23" s="12">
        <v>5</v>
      </c>
      <c r="W23" s="12">
        <v>4</v>
      </c>
      <c r="X23" s="12">
        <v>3</v>
      </c>
      <c r="Y23" s="12">
        <v>4</v>
      </c>
      <c r="Z23" s="12">
        <v>3</v>
      </c>
      <c r="AA23" s="12">
        <v>3</v>
      </c>
      <c r="AB23" s="13">
        <f t="shared" si="4"/>
        <v>62</v>
      </c>
      <c r="AC23" s="14"/>
    </row>
    <row r="24" customFormat="1" ht="178" customHeight="1" spans="1:29">
      <c r="A24" s="19"/>
      <c r="B24" s="17" t="s">
        <v>283</v>
      </c>
      <c r="C24" s="11" t="s">
        <v>284</v>
      </c>
      <c r="D24" s="12">
        <v>5</v>
      </c>
      <c r="E24" s="12">
        <v>5</v>
      </c>
      <c r="F24" s="12">
        <v>5</v>
      </c>
      <c r="G24" s="12">
        <v>5</v>
      </c>
      <c r="H24" s="12">
        <v>5</v>
      </c>
      <c r="I24" s="12">
        <v>5</v>
      </c>
      <c r="J24" s="12">
        <v>5</v>
      </c>
      <c r="K24" s="13">
        <f t="shared" si="3"/>
        <v>35</v>
      </c>
      <c r="L24" s="12">
        <v>4</v>
      </c>
      <c r="M24" s="12">
        <v>4</v>
      </c>
      <c r="N24" s="12">
        <v>3</v>
      </c>
      <c r="O24" s="12">
        <v>4</v>
      </c>
      <c r="P24" s="12">
        <v>3</v>
      </c>
      <c r="Q24" s="12">
        <v>4</v>
      </c>
      <c r="R24" s="12">
        <v>4</v>
      </c>
      <c r="S24" s="12">
        <v>5</v>
      </c>
      <c r="T24" s="12">
        <v>5</v>
      </c>
      <c r="U24" s="12">
        <v>5</v>
      </c>
      <c r="V24" s="12">
        <v>5</v>
      </c>
      <c r="W24" s="12">
        <v>4</v>
      </c>
      <c r="X24" s="12">
        <v>3</v>
      </c>
      <c r="Y24" s="12">
        <v>4</v>
      </c>
      <c r="Z24" s="12">
        <v>3</v>
      </c>
      <c r="AA24" s="12">
        <v>4</v>
      </c>
      <c r="AB24" s="13">
        <f t="shared" si="4"/>
        <v>64</v>
      </c>
      <c r="AC24" s="14"/>
    </row>
    <row r="25" customFormat="1" ht="161" customHeight="1" spans="1:29">
      <c r="A25" s="19"/>
      <c r="B25" s="17" t="s">
        <v>285</v>
      </c>
      <c r="C25" s="11" t="s">
        <v>286</v>
      </c>
      <c r="D25" s="12">
        <v>5</v>
      </c>
      <c r="E25" s="12">
        <v>5</v>
      </c>
      <c r="F25" s="12">
        <v>5</v>
      </c>
      <c r="G25" s="12">
        <v>5</v>
      </c>
      <c r="H25" s="12">
        <v>5</v>
      </c>
      <c r="I25" s="12">
        <v>5</v>
      </c>
      <c r="J25" s="12">
        <v>5</v>
      </c>
      <c r="K25" s="13">
        <f t="shared" si="3"/>
        <v>35</v>
      </c>
      <c r="L25" s="12">
        <v>5</v>
      </c>
      <c r="M25" s="12">
        <v>5</v>
      </c>
      <c r="N25" s="12">
        <v>3</v>
      </c>
      <c r="O25" s="12">
        <v>5</v>
      </c>
      <c r="P25" s="12">
        <v>4</v>
      </c>
      <c r="Q25" s="12">
        <v>4</v>
      </c>
      <c r="R25" s="12">
        <v>5</v>
      </c>
      <c r="S25" s="12">
        <v>5</v>
      </c>
      <c r="T25" s="12">
        <v>4</v>
      </c>
      <c r="U25" s="12">
        <v>5</v>
      </c>
      <c r="V25" s="12">
        <v>5</v>
      </c>
      <c r="W25" s="12">
        <v>5</v>
      </c>
      <c r="X25" s="12">
        <v>4</v>
      </c>
      <c r="Y25" s="12">
        <v>4</v>
      </c>
      <c r="Z25" s="12">
        <v>3</v>
      </c>
      <c r="AA25" s="12">
        <v>4</v>
      </c>
      <c r="AB25" s="13">
        <f t="shared" si="4"/>
        <v>70</v>
      </c>
      <c r="AC25" s="14"/>
    </row>
    <row r="26" customFormat="1" ht="167" customHeight="1" spans="1:29">
      <c r="A26" s="19"/>
      <c r="B26" s="17" t="s">
        <v>287</v>
      </c>
      <c r="C26" s="11" t="s">
        <v>288</v>
      </c>
      <c r="D26" s="12">
        <v>5</v>
      </c>
      <c r="E26" s="12">
        <v>5</v>
      </c>
      <c r="F26" s="12">
        <v>5</v>
      </c>
      <c r="G26" s="12">
        <v>5</v>
      </c>
      <c r="H26" s="12">
        <v>5</v>
      </c>
      <c r="I26" s="12">
        <v>5</v>
      </c>
      <c r="J26" s="12">
        <v>5</v>
      </c>
      <c r="K26" s="13">
        <f t="shared" si="3"/>
        <v>35</v>
      </c>
      <c r="L26" s="12">
        <v>5</v>
      </c>
      <c r="M26" s="12">
        <v>5</v>
      </c>
      <c r="N26" s="12">
        <v>3</v>
      </c>
      <c r="O26" s="12">
        <v>5</v>
      </c>
      <c r="P26" s="12">
        <v>4</v>
      </c>
      <c r="Q26" s="12">
        <v>4</v>
      </c>
      <c r="R26" s="12">
        <v>5</v>
      </c>
      <c r="S26" s="12">
        <v>5</v>
      </c>
      <c r="T26" s="12">
        <v>5</v>
      </c>
      <c r="U26" s="12">
        <v>5</v>
      </c>
      <c r="V26" s="12">
        <v>5</v>
      </c>
      <c r="W26" s="12">
        <v>5</v>
      </c>
      <c r="X26" s="12">
        <v>3</v>
      </c>
      <c r="Y26" s="12">
        <v>4</v>
      </c>
      <c r="Z26" s="12">
        <v>3</v>
      </c>
      <c r="AA26" s="12">
        <v>4</v>
      </c>
      <c r="AB26" s="13">
        <f t="shared" si="4"/>
        <v>70</v>
      </c>
      <c r="AC26" s="14"/>
    </row>
    <row r="27" customFormat="1" ht="234" customHeight="1" spans="1:29">
      <c r="A27" s="19"/>
      <c r="B27" s="17" t="s">
        <v>289</v>
      </c>
      <c r="C27" s="11" t="s">
        <v>290</v>
      </c>
      <c r="D27" s="12">
        <v>5</v>
      </c>
      <c r="E27" s="12">
        <v>5</v>
      </c>
      <c r="F27" s="12">
        <v>4</v>
      </c>
      <c r="G27" s="12">
        <v>5</v>
      </c>
      <c r="H27" s="12">
        <v>5</v>
      </c>
      <c r="I27" s="12">
        <v>5</v>
      </c>
      <c r="J27" s="12">
        <v>5</v>
      </c>
      <c r="K27" s="13">
        <f t="shared" si="3"/>
        <v>34</v>
      </c>
      <c r="L27" s="12">
        <v>5</v>
      </c>
      <c r="M27" s="12">
        <v>5</v>
      </c>
      <c r="N27" s="12">
        <v>2</v>
      </c>
      <c r="O27" s="12">
        <v>5</v>
      </c>
      <c r="P27" s="12">
        <v>2</v>
      </c>
      <c r="Q27" s="12">
        <v>4</v>
      </c>
      <c r="R27" s="12">
        <v>4</v>
      </c>
      <c r="S27" s="12">
        <v>1</v>
      </c>
      <c r="T27" s="12">
        <v>5</v>
      </c>
      <c r="U27" s="12">
        <v>5</v>
      </c>
      <c r="V27" s="12">
        <v>4</v>
      </c>
      <c r="W27" s="12">
        <v>4</v>
      </c>
      <c r="X27" s="12">
        <v>2</v>
      </c>
      <c r="Y27" s="12">
        <v>4</v>
      </c>
      <c r="Z27" s="12">
        <v>3</v>
      </c>
      <c r="AA27" s="12">
        <v>3</v>
      </c>
      <c r="AB27" s="13">
        <f t="shared" si="4"/>
        <v>58</v>
      </c>
      <c r="AC27" s="14"/>
    </row>
    <row r="28" customFormat="1" ht="153" customHeight="1" spans="1:29">
      <c r="A28" s="19"/>
      <c r="B28" s="17" t="s">
        <v>291</v>
      </c>
      <c r="C28" s="11" t="s">
        <v>292</v>
      </c>
      <c r="D28" s="12">
        <v>5</v>
      </c>
      <c r="E28" s="12">
        <v>5</v>
      </c>
      <c r="F28" s="12">
        <v>4</v>
      </c>
      <c r="G28" s="12">
        <v>5</v>
      </c>
      <c r="H28" s="12">
        <v>5</v>
      </c>
      <c r="I28" s="12">
        <v>5</v>
      </c>
      <c r="J28" s="12">
        <v>5</v>
      </c>
      <c r="K28" s="13">
        <f t="shared" si="3"/>
        <v>34</v>
      </c>
      <c r="L28" s="12">
        <v>5</v>
      </c>
      <c r="M28" s="12">
        <v>5</v>
      </c>
      <c r="N28" s="12">
        <v>2</v>
      </c>
      <c r="O28" s="12">
        <v>4</v>
      </c>
      <c r="P28" s="12">
        <v>2</v>
      </c>
      <c r="Q28" s="12">
        <v>4</v>
      </c>
      <c r="R28" s="12">
        <v>4</v>
      </c>
      <c r="S28" s="12">
        <v>5</v>
      </c>
      <c r="T28" s="12">
        <v>5</v>
      </c>
      <c r="U28" s="12">
        <v>5</v>
      </c>
      <c r="V28" s="12">
        <v>5</v>
      </c>
      <c r="W28" s="12">
        <v>4</v>
      </c>
      <c r="X28" s="12">
        <v>3</v>
      </c>
      <c r="Y28" s="12">
        <v>4</v>
      </c>
      <c r="Z28" s="12">
        <v>3</v>
      </c>
      <c r="AA28" s="12">
        <v>4</v>
      </c>
      <c r="AB28" s="13">
        <f t="shared" si="4"/>
        <v>64</v>
      </c>
      <c r="AC28" s="14"/>
    </row>
    <row r="29" customFormat="1" ht="121.5" spans="1:29">
      <c r="A29" s="19"/>
      <c r="B29" s="17" t="s">
        <v>330</v>
      </c>
      <c r="C29" s="11" t="s">
        <v>331</v>
      </c>
      <c r="D29" s="12">
        <v>5</v>
      </c>
      <c r="E29" s="12">
        <v>5</v>
      </c>
      <c r="F29" s="12">
        <v>5</v>
      </c>
      <c r="G29" s="12">
        <v>5</v>
      </c>
      <c r="H29" s="12">
        <v>5</v>
      </c>
      <c r="I29" s="12">
        <v>5</v>
      </c>
      <c r="J29" s="12">
        <v>5</v>
      </c>
      <c r="K29" s="13">
        <f t="shared" si="3"/>
        <v>35</v>
      </c>
      <c r="L29" s="12">
        <v>5</v>
      </c>
      <c r="M29" s="12">
        <v>5</v>
      </c>
      <c r="N29" s="12">
        <v>4</v>
      </c>
      <c r="O29" s="12">
        <v>5</v>
      </c>
      <c r="P29" s="12">
        <v>2</v>
      </c>
      <c r="Q29" s="12">
        <v>4</v>
      </c>
      <c r="R29" s="12">
        <v>4</v>
      </c>
      <c r="S29" s="12">
        <v>1</v>
      </c>
      <c r="T29" s="12">
        <v>5</v>
      </c>
      <c r="U29" s="12">
        <v>5</v>
      </c>
      <c r="V29" s="12">
        <v>5</v>
      </c>
      <c r="W29" s="12">
        <v>4</v>
      </c>
      <c r="X29" s="12">
        <v>2</v>
      </c>
      <c r="Y29" s="12">
        <v>4</v>
      </c>
      <c r="Z29" s="12">
        <v>3</v>
      </c>
      <c r="AA29" s="12">
        <v>3</v>
      </c>
      <c r="AB29" s="13">
        <f t="shared" si="4"/>
        <v>61</v>
      </c>
      <c r="AC29" s="14"/>
    </row>
    <row r="30" ht="135" spans="1:29">
      <c r="A30" s="19"/>
      <c r="B30" s="17" t="s">
        <v>332</v>
      </c>
      <c r="C30" s="11" t="s">
        <v>333</v>
      </c>
      <c r="D30" s="12">
        <v>5</v>
      </c>
      <c r="E30" s="12">
        <v>5</v>
      </c>
      <c r="F30" s="12">
        <v>5</v>
      </c>
      <c r="G30" s="12">
        <v>5</v>
      </c>
      <c r="H30" s="12">
        <v>5</v>
      </c>
      <c r="I30" s="12">
        <v>5</v>
      </c>
      <c r="J30" s="12">
        <v>5</v>
      </c>
      <c r="K30" s="13">
        <f t="shared" si="3"/>
        <v>35</v>
      </c>
      <c r="L30" s="12">
        <v>5</v>
      </c>
      <c r="M30" s="12">
        <v>5</v>
      </c>
      <c r="N30" s="12">
        <v>4</v>
      </c>
      <c r="O30" s="12">
        <v>5</v>
      </c>
      <c r="P30" s="12">
        <v>2</v>
      </c>
      <c r="Q30" s="12">
        <v>4</v>
      </c>
      <c r="R30" s="12">
        <v>4</v>
      </c>
      <c r="S30" s="12">
        <v>1</v>
      </c>
      <c r="T30" s="12">
        <v>5</v>
      </c>
      <c r="U30" s="12">
        <v>5</v>
      </c>
      <c r="V30" s="12">
        <v>5</v>
      </c>
      <c r="W30" s="12">
        <v>4</v>
      </c>
      <c r="X30" s="12">
        <v>2</v>
      </c>
      <c r="Y30" s="12">
        <v>4</v>
      </c>
      <c r="Z30" s="12">
        <v>3</v>
      </c>
      <c r="AA30" s="12">
        <v>3</v>
      </c>
      <c r="AB30" s="13">
        <f t="shared" si="4"/>
        <v>61</v>
      </c>
      <c r="AC30" s="14"/>
    </row>
    <row r="31" customFormat="1" ht="108" spans="1:29">
      <c r="A31" s="19"/>
      <c r="B31" s="17" t="s">
        <v>334</v>
      </c>
      <c r="C31" s="11" t="s">
        <v>335</v>
      </c>
      <c r="D31" s="12">
        <v>5</v>
      </c>
      <c r="E31" s="12">
        <v>5</v>
      </c>
      <c r="F31" s="12">
        <v>5</v>
      </c>
      <c r="G31" s="12">
        <v>5</v>
      </c>
      <c r="H31" s="12">
        <v>5</v>
      </c>
      <c r="I31" s="12">
        <v>5</v>
      </c>
      <c r="J31" s="12">
        <v>5</v>
      </c>
      <c r="K31" s="13">
        <f t="shared" si="3"/>
        <v>35</v>
      </c>
      <c r="L31" s="12">
        <v>5</v>
      </c>
      <c r="M31" s="12">
        <v>5</v>
      </c>
      <c r="N31" s="12">
        <v>4</v>
      </c>
      <c r="O31" s="12">
        <v>5</v>
      </c>
      <c r="P31" s="12">
        <v>2</v>
      </c>
      <c r="Q31" s="12">
        <v>4</v>
      </c>
      <c r="R31" s="12">
        <v>4</v>
      </c>
      <c r="S31" s="12">
        <v>1</v>
      </c>
      <c r="T31" s="12">
        <v>5</v>
      </c>
      <c r="U31" s="12">
        <v>5</v>
      </c>
      <c r="V31" s="12">
        <v>5</v>
      </c>
      <c r="W31" s="12">
        <v>4</v>
      </c>
      <c r="X31" s="12">
        <v>2</v>
      </c>
      <c r="Y31" s="12">
        <v>4</v>
      </c>
      <c r="Z31" s="12">
        <v>3</v>
      </c>
      <c r="AA31" s="12">
        <v>3</v>
      </c>
      <c r="AB31" s="13">
        <f t="shared" si="4"/>
        <v>61</v>
      </c>
      <c r="AC31" s="14"/>
    </row>
    <row r="32" spans="1:29">
      <c r="D32">
        <f>AVERAGE(D15:D31)</f>
        <v>5</v>
      </c>
      <c r="E32">
        <f t="shared" ref="E32:AB32" si="5">AVERAGE(E15:E31)</f>
        <v>5</v>
      </c>
      <c r="F32">
        <f t="shared" si="5"/>
        <v>4.76470588235294</v>
      </c>
      <c r="G32">
        <f t="shared" si="5"/>
        <v>5</v>
      </c>
      <c r="H32">
        <f t="shared" si="5"/>
        <v>5</v>
      </c>
      <c r="I32">
        <f t="shared" si="5"/>
        <v>5</v>
      </c>
      <c r="J32">
        <f t="shared" si="5"/>
        <v>5</v>
      </c>
      <c r="K32">
        <f t="shared" si="5"/>
        <v>34.7647058823529</v>
      </c>
      <c r="L32">
        <f t="shared" si="5"/>
        <v>4.94117647058824</v>
      </c>
      <c r="M32">
        <f t="shared" si="5"/>
        <v>4.94117647058824</v>
      </c>
      <c r="N32">
        <f t="shared" si="5"/>
        <v>2.82352941176471</v>
      </c>
      <c r="O32">
        <f t="shared" si="5"/>
        <v>4.88235294117647</v>
      </c>
      <c r="P32">
        <f t="shared" si="5"/>
        <v>2.58823529411765</v>
      </c>
      <c r="Q32">
        <f t="shared" si="5"/>
        <v>4.17647058823529</v>
      </c>
      <c r="R32">
        <f t="shared" si="5"/>
        <v>4.11764705882353</v>
      </c>
      <c r="S32">
        <f t="shared" si="5"/>
        <v>3.47058823529412</v>
      </c>
      <c r="T32">
        <f t="shared" si="5"/>
        <v>4.94117647058824</v>
      </c>
      <c r="U32">
        <f t="shared" si="5"/>
        <v>4.88235294117647</v>
      </c>
      <c r="V32">
        <f t="shared" si="5"/>
        <v>4.94117647058824</v>
      </c>
      <c r="W32">
        <f t="shared" si="5"/>
        <v>4.11764705882353</v>
      </c>
      <c r="X32">
        <f t="shared" si="5"/>
        <v>2.52941176470588</v>
      </c>
      <c r="Y32">
        <f t="shared" si="5"/>
        <v>3.88235294117647</v>
      </c>
      <c r="Z32">
        <f t="shared" si="5"/>
        <v>3</v>
      </c>
      <c r="AA32">
        <f t="shared" si="5"/>
        <v>3.76470588235294</v>
      </c>
      <c r="AB32">
        <f t="shared" si="5"/>
        <v>64</v>
      </c>
    </row>
    <row r="34" ht="135" spans="1:29">
      <c r="A34" s="15" t="s">
        <v>396</v>
      </c>
      <c r="B34" s="10" t="s">
        <v>207</v>
      </c>
      <c r="C34" s="11" t="s">
        <v>208</v>
      </c>
      <c r="D34" s="12">
        <v>5</v>
      </c>
      <c r="E34" s="12">
        <v>5</v>
      </c>
      <c r="F34" s="12">
        <v>5</v>
      </c>
      <c r="G34" s="12">
        <v>5</v>
      </c>
      <c r="H34" s="12">
        <v>5</v>
      </c>
      <c r="I34" s="12">
        <v>5</v>
      </c>
      <c r="J34" s="12">
        <v>5</v>
      </c>
      <c r="K34" s="13">
        <f t="shared" ref="K34:K58" si="6">SUM(D34:J34)</f>
        <v>35</v>
      </c>
      <c r="L34" s="12">
        <v>5</v>
      </c>
      <c r="M34" s="12">
        <v>5</v>
      </c>
      <c r="N34" s="12">
        <v>3</v>
      </c>
      <c r="O34" s="12">
        <v>5</v>
      </c>
      <c r="P34" s="12">
        <v>2</v>
      </c>
      <c r="Q34" s="12">
        <v>4</v>
      </c>
      <c r="R34" s="12">
        <v>4</v>
      </c>
      <c r="S34" s="12">
        <v>5</v>
      </c>
      <c r="T34" s="12">
        <v>5</v>
      </c>
      <c r="U34" s="12">
        <v>5</v>
      </c>
      <c r="V34" s="12">
        <v>5</v>
      </c>
      <c r="W34" s="12">
        <v>4</v>
      </c>
      <c r="X34" s="12">
        <v>3</v>
      </c>
      <c r="Y34" s="12">
        <v>4</v>
      </c>
      <c r="Z34" s="12">
        <v>3</v>
      </c>
      <c r="AA34" s="12">
        <v>4</v>
      </c>
      <c r="AB34" s="13">
        <f t="shared" ref="AB34:AB58" si="7">SUM(L34:AA34)</f>
        <v>66</v>
      </c>
      <c r="AC34" s="14"/>
    </row>
    <row r="35" ht="189" spans="1:29">
      <c r="A35" s="15"/>
      <c r="B35" s="10" t="s">
        <v>209</v>
      </c>
      <c r="C35" s="11" t="s">
        <v>210</v>
      </c>
      <c r="D35" s="12">
        <v>5</v>
      </c>
      <c r="E35" s="12">
        <v>5</v>
      </c>
      <c r="F35" s="12">
        <v>5</v>
      </c>
      <c r="G35" s="12">
        <v>5</v>
      </c>
      <c r="H35" s="12">
        <v>5</v>
      </c>
      <c r="I35" s="12">
        <v>5</v>
      </c>
      <c r="J35" s="12">
        <v>5</v>
      </c>
      <c r="K35" s="13">
        <f t="shared" si="6"/>
        <v>35</v>
      </c>
      <c r="L35" s="12">
        <v>5</v>
      </c>
      <c r="M35" s="12">
        <v>5</v>
      </c>
      <c r="N35" s="12">
        <v>3</v>
      </c>
      <c r="O35" s="12">
        <v>5</v>
      </c>
      <c r="P35" s="12">
        <v>3</v>
      </c>
      <c r="Q35" s="12">
        <v>4</v>
      </c>
      <c r="R35" s="12">
        <v>5</v>
      </c>
      <c r="S35" s="12">
        <v>5</v>
      </c>
      <c r="T35" s="12">
        <v>5</v>
      </c>
      <c r="U35" s="12">
        <v>5</v>
      </c>
      <c r="V35" s="12">
        <v>5</v>
      </c>
      <c r="W35" s="12">
        <v>5</v>
      </c>
      <c r="X35" s="12">
        <v>3</v>
      </c>
      <c r="Y35" s="12">
        <v>4</v>
      </c>
      <c r="Z35" s="12">
        <v>3</v>
      </c>
      <c r="AA35" s="12">
        <v>4</v>
      </c>
      <c r="AB35" s="13">
        <f t="shared" si="7"/>
        <v>69</v>
      </c>
      <c r="AC35" s="14"/>
    </row>
    <row r="36" ht="135" spans="1:29">
      <c r="A36" s="15"/>
      <c r="B36" s="10" t="s">
        <v>211</v>
      </c>
      <c r="C36" s="11" t="s">
        <v>212</v>
      </c>
      <c r="D36" s="12">
        <v>5</v>
      </c>
      <c r="E36" s="12">
        <v>5</v>
      </c>
      <c r="F36" s="12">
        <v>5</v>
      </c>
      <c r="G36" s="12">
        <v>5</v>
      </c>
      <c r="H36" s="12">
        <v>5</v>
      </c>
      <c r="I36" s="12">
        <v>5</v>
      </c>
      <c r="J36" s="12">
        <v>5</v>
      </c>
      <c r="K36" s="13">
        <f t="shared" si="6"/>
        <v>35</v>
      </c>
      <c r="L36" s="12">
        <v>5</v>
      </c>
      <c r="M36" s="12">
        <v>5</v>
      </c>
      <c r="N36" s="12">
        <v>3</v>
      </c>
      <c r="O36" s="12">
        <v>5</v>
      </c>
      <c r="P36" s="12">
        <v>4</v>
      </c>
      <c r="Q36" s="12">
        <v>3</v>
      </c>
      <c r="R36" s="12">
        <v>5</v>
      </c>
      <c r="S36" s="12">
        <v>5</v>
      </c>
      <c r="T36" s="12">
        <v>5</v>
      </c>
      <c r="U36" s="12">
        <v>5</v>
      </c>
      <c r="V36" s="12">
        <v>5</v>
      </c>
      <c r="W36" s="12">
        <v>5</v>
      </c>
      <c r="X36" s="12">
        <v>3</v>
      </c>
      <c r="Y36" s="12">
        <v>4</v>
      </c>
      <c r="Z36" s="12">
        <v>3</v>
      </c>
      <c r="AA36" s="12">
        <v>4</v>
      </c>
      <c r="AB36" s="13">
        <f t="shared" si="7"/>
        <v>69</v>
      </c>
      <c r="AC36" s="14"/>
    </row>
    <row r="37" ht="162" spans="1:29">
      <c r="A37" s="15"/>
      <c r="B37" s="10" t="s">
        <v>213</v>
      </c>
      <c r="C37" s="11" t="s">
        <v>214</v>
      </c>
      <c r="D37" s="12">
        <v>5</v>
      </c>
      <c r="E37" s="12">
        <v>5</v>
      </c>
      <c r="F37" s="12">
        <v>5</v>
      </c>
      <c r="G37" s="12">
        <v>5</v>
      </c>
      <c r="H37" s="12">
        <v>5</v>
      </c>
      <c r="I37" s="12">
        <v>5</v>
      </c>
      <c r="J37" s="12">
        <v>5</v>
      </c>
      <c r="K37" s="13">
        <f t="shared" si="6"/>
        <v>35</v>
      </c>
      <c r="L37" s="12">
        <v>5</v>
      </c>
      <c r="M37" s="12">
        <v>5</v>
      </c>
      <c r="N37" s="12">
        <v>3</v>
      </c>
      <c r="O37" s="12">
        <v>5</v>
      </c>
      <c r="P37" s="12">
        <v>3</v>
      </c>
      <c r="Q37" s="12">
        <v>4</v>
      </c>
      <c r="R37" s="12">
        <v>5</v>
      </c>
      <c r="S37" s="12">
        <v>5</v>
      </c>
      <c r="T37" s="12">
        <v>5</v>
      </c>
      <c r="U37" s="12">
        <v>5</v>
      </c>
      <c r="V37" s="12">
        <v>5</v>
      </c>
      <c r="W37" s="12">
        <v>5</v>
      </c>
      <c r="X37" s="12">
        <v>3</v>
      </c>
      <c r="Y37" s="12">
        <v>4</v>
      </c>
      <c r="Z37" s="12">
        <v>3</v>
      </c>
      <c r="AA37" s="12">
        <v>4</v>
      </c>
      <c r="AB37" s="13">
        <f t="shared" si="7"/>
        <v>69</v>
      </c>
      <c r="AC37" s="14"/>
    </row>
    <row r="38" ht="135" spans="1:29">
      <c r="A38" s="15"/>
      <c r="B38" s="10" t="s">
        <v>215</v>
      </c>
      <c r="C38" s="11" t="s">
        <v>216</v>
      </c>
      <c r="D38" s="12">
        <v>5</v>
      </c>
      <c r="E38" s="12">
        <v>5</v>
      </c>
      <c r="F38" s="12">
        <v>5</v>
      </c>
      <c r="G38" s="12">
        <v>5</v>
      </c>
      <c r="H38" s="12">
        <v>5</v>
      </c>
      <c r="I38" s="12">
        <v>5</v>
      </c>
      <c r="J38" s="12">
        <v>5</v>
      </c>
      <c r="K38" s="13">
        <f t="shared" si="6"/>
        <v>35</v>
      </c>
      <c r="L38" s="12">
        <v>5</v>
      </c>
      <c r="M38" s="12">
        <v>5</v>
      </c>
      <c r="N38" s="12">
        <v>3</v>
      </c>
      <c r="O38" s="12">
        <v>5</v>
      </c>
      <c r="P38" s="12">
        <v>4</v>
      </c>
      <c r="Q38" s="12">
        <v>4</v>
      </c>
      <c r="R38" s="12">
        <v>5</v>
      </c>
      <c r="S38" s="12">
        <v>5</v>
      </c>
      <c r="T38" s="12">
        <v>5</v>
      </c>
      <c r="U38" s="12">
        <v>5</v>
      </c>
      <c r="V38" s="12">
        <v>5</v>
      </c>
      <c r="W38" s="12">
        <v>5</v>
      </c>
      <c r="X38" s="12">
        <v>3</v>
      </c>
      <c r="Y38" s="12">
        <v>4</v>
      </c>
      <c r="Z38" s="12">
        <v>3</v>
      </c>
      <c r="AA38" s="12">
        <v>4</v>
      </c>
      <c r="AB38" s="13">
        <f t="shared" si="7"/>
        <v>70</v>
      </c>
      <c r="AC38" s="14"/>
    </row>
    <row r="39" ht="162" spans="1:29">
      <c r="A39" s="15"/>
      <c r="B39" s="10" t="s">
        <v>217</v>
      </c>
      <c r="C39" s="11" t="s">
        <v>218</v>
      </c>
      <c r="D39" s="12">
        <v>5</v>
      </c>
      <c r="E39" s="12">
        <v>5</v>
      </c>
      <c r="F39" s="12">
        <v>3</v>
      </c>
      <c r="G39" s="12">
        <v>5</v>
      </c>
      <c r="H39" s="12">
        <v>5</v>
      </c>
      <c r="I39" s="12">
        <v>5</v>
      </c>
      <c r="J39" s="12">
        <v>5</v>
      </c>
      <c r="K39" s="13">
        <f t="shared" si="6"/>
        <v>33</v>
      </c>
      <c r="L39" s="12">
        <v>5</v>
      </c>
      <c r="M39" s="12">
        <v>5</v>
      </c>
      <c r="N39" s="12">
        <v>2</v>
      </c>
      <c r="O39" s="12">
        <v>5</v>
      </c>
      <c r="P39" s="12">
        <v>5</v>
      </c>
      <c r="Q39" s="12">
        <v>5</v>
      </c>
      <c r="R39" s="12">
        <v>4</v>
      </c>
      <c r="S39" s="12">
        <v>5</v>
      </c>
      <c r="T39" s="12">
        <v>5</v>
      </c>
      <c r="U39" s="12">
        <v>5</v>
      </c>
      <c r="V39" s="12">
        <v>4</v>
      </c>
      <c r="W39" s="12">
        <v>4</v>
      </c>
      <c r="X39" s="12">
        <v>4</v>
      </c>
      <c r="Y39" s="12">
        <v>4</v>
      </c>
      <c r="Z39" s="12">
        <v>3</v>
      </c>
      <c r="AA39" s="12">
        <v>4</v>
      </c>
      <c r="AB39" s="13">
        <f t="shared" si="7"/>
        <v>69</v>
      </c>
      <c r="AC39" s="14"/>
    </row>
    <row r="40" ht="148.5" spans="1:29">
      <c r="A40" s="15"/>
      <c r="B40" s="10" t="s">
        <v>219</v>
      </c>
      <c r="C40" s="11" t="s">
        <v>220</v>
      </c>
      <c r="D40" s="12">
        <v>5</v>
      </c>
      <c r="E40" s="12">
        <v>5</v>
      </c>
      <c r="F40" s="12">
        <v>5</v>
      </c>
      <c r="G40" s="12">
        <v>5</v>
      </c>
      <c r="H40" s="12">
        <v>5</v>
      </c>
      <c r="I40" s="12">
        <v>5</v>
      </c>
      <c r="J40" s="12">
        <v>5</v>
      </c>
      <c r="K40" s="13">
        <f t="shared" si="6"/>
        <v>35</v>
      </c>
      <c r="L40" s="12">
        <v>5</v>
      </c>
      <c r="M40" s="12">
        <v>5</v>
      </c>
      <c r="N40" s="12">
        <v>3</v>
      </c>
      <c r="O40" s="12">
        <v>5</v>
      </c>
      <c r="P40" s="12">
        <v>4</v>
      </c>
      <c r="Q40" s="12">
        <v>4</v>
      </c>
      <c r="R40" s="12">
        <v>4</v>
      </c>
      <c r="S40" s="12">
        <v>5</v>
      </c>
      <c r="T40" s="12">
        <v>5</v>
      </c>
      <c r="U40" s="12">
        <v>5</v>
      </c>
      <c r="V40" s="12">
        <v>5</v>
      </c>
      <c r="W40" s="12">
        <v>4</v>
      </c>
      <c r="X40" s="12">
        <v>4</v>
      </c>
      <c r="Y40" s="12">
        <v>4</v>
      </c>
      <c r="Z40" s="12">
        <v>3</v>
      </c>
      <c r="AA40" s="12">
        <v>4</v>
      </c>
      <c r="AB40" s="13">
        <f t="shared" si="7"/>
        <v>69</v>
      </c>
      <c r="AC40" s="14"/>
    </row>
    <row r="41" ht="148.5" spans="1:29">
      <c r="A41" s="15"/>
      <c r="B41" s="10" t="s">
        <v>221</v>
      </c>
      <c r="C41" s="11" t="s">
        <v>222</v>
      </c>
      <c r="D41" s="12">
        <v>5</v>
      </c>
      <c r="E41" s="12">
        <v>5</v>
      </c>
      <c r="F41" s="12">
        <v>4</v>
      </c>
      <c r="G41" s="12">
        <v>5</v>
      </c>
      <c r="H41" s="12">
        <v>5</v>
      </c>
      <c r="I41" s="12">
        <v>5</v>
      </c>
      <c r="J41" s="12">
        <v>5</v>
      </c>
      <c r="K41" s="13">
        <f t="shared" si="6"/>
        <v>34</v>
      </c>
      <c r="L41" s="12">
        <v>5</v>
      </c>
      <c r="M41" s="12">
        <v>5</v>
      </c>
      <c r="N41" s="12">
        <v>3</v>
      </c>
      <c r="O41" s="12">
        <v>5</v>
      </c>
      <c r="P41" s="12">
        <v>3</v>
      </c>
      <c r="Q41" s="12">
        <v>4</v>
      </c>
      <c r="R41" s="12">
        <v>4</v>
      </c>
      <c r="S41" s="12">
        <v>5</v>
      </c>
      <c r="T41" s="12">
        <v>5</v>
      </c>
      <c r="U41" s="12">
        <v>5</v>
      </c>
      <c r="V41" s="12">
        <v>5</v>
      </c>
      <c r="W41" s="12">
        <v>5</v>
      </c>
      <c r="X41" s="12">
        <v>3</v>
      </c>
      <c r="Y41" s="12">
        <v>4</v>
      </c>
      <c r="Z41" s="12">
        <v>3</v>
      </c>
      <c r="AA41" s="12">
        <v>4</v>
      </c>
      <c r="AB41" s="13">
        <f t="shared" si="7"/>
        <v>68</v>
      </c>
      <c r="AC41" s="14"/>
    </row>
    <row r="42" ht="162" spans="1:29">
      <c r="A42" s="15"/>
      <c r="B42" s="10" t="s">
        <v>223</v>
      </c>
      <c r="C42" s="11" t="s">
        <v>224</v>
      </c>
      <c r="D42" s="12">
        <v>5</v>
      </c>
      <c r="E42" s="12">
        <v>5</v>
      </c>
      <c r="F42" s="12">
        <v>5</v>
      </c>
      <c r="G42" s="12">
        <v>5</v>
      </c>
      <c r="H42" s="12">
        <v>5</v>
      </c>
      <c r="I42" s="12">
        <v>5</v>
      </c>
      <c r="J42" s="12">
        <v>5</v>
      </c>
      <c r="K42" s="13">
        <f t="shared" si="6"/>
        <v>35</v>
      </c>
      <c r="L42" s="12">
        <v>5</v>
      </c>
      <c r="M42" s="12">
        <v>5</v>
      </c>
      <c r="N42" s="12">
        <v>2</v>
      </c>
      <c r="O42" s="12">
        <v>5</v>
      </c>
      <c r="P42" s="12">
        <v>3</v>
      </c>
      <c r="Q42" s="12">
        <v>4</v>
      </c>
      <c r="R42" s="12">
        <v>5</v>
      </c>
      <c r="S42" s="12">
        <v>5</v>
      </c>
      <c r="T42" s="12">
        <v>5</v>
      </c>
      <c r="U42" s="12">
        <v>5</v>
      </c>
      <c r="V42" s="12">
        <v>5</v>
      </c>
      <c r="W42" s="12">
        <v>5</v>
      </c>
      <c r="X42" s="12">
        <v>3</v>
      </c>
      <c r="Y42" s="12">
        <v>4</v>
      </c>
      <c r="Z42" s="12">
        <v>3</v>
      </c>
      <c r="AA42" s="12">
        <v>4</v>
      </c>
      <c r="AB42" s="13">
        <f t="shared" si="7"/>
        <v>68</v>
      </c>
      <c r="AC42" s="14"/>
    </row>
    <row r="43" ht="202.5" spans="1:29">
      <c r="A43" s="15"/>
      <c r="B43" s="10" t="s">
        <v>225</v>
      </c>
      <c r="C43" s="11" t="s">
        <v>226</v>
      </c>
      <c r="D43" s="12">
        <v>5</v>
      </c>
      <c r="E43" s="12">
        <v>5</v>
      </c>
      <c r="F43" s="12">
        <v>4</v>
      </c>
      <c r="G43" s="12">
        <v>5</v>
      </c>
      <c r="H43" s="12">
        <v>5</v>
      </c>
      <c r="I43" s="12">
        <v>5</v>
      </c>
      <c r="J43" s="12">
        <v>5</v>
      </c>
      <c r="K43" s="13">
        <f t="shared" si="6"/>
        <v>34</v>
      </c>
      <c r="L43" s="12">
        <v>5</v>
      </c>
      <c r="M43" s="12">
        <v>5</v>
      </c>
      <c r="N43" s="12">
        <v>3</v>
      </c>
      <c r="O43" s="12">
        <v>5</v>
      </c>
      <c r="P43" s="12">
        <v>4</v>
      </c>
      <c r="Q43" s="12">
        <v>4</v>
      </c>
      <c r="R43" s="12">
        <v>4</v>
      </c>
      <c r="S43" s="12">
        <v>5</v>
      </c>
      <c r="T43" s="12">
        <v>5</v>
      </c>
      <c r="U43" s="12">
        <v>5</v>
      </c>
      <c r="V43" s="12">
        <v>5</v>
      </c>
      <c r="W43" s="12">
        <v>4</v>
      </c>
      <c r="X43" s="12">
        <v>3</v>
      </c>
      <c r="Y43" s="12">
        <v>4</v>
      </c>
      <c r="Z43" s="12">
        <v>3</v>
      </c>
      <c r="AA43" s="12">
        <v>4</v>
      </c>
      <c r="AB43" s="13">
        <f t="shared" si="7"/>
        <v>68</v>
      </c>
      <c r="AC43" s="14"/>
    </row>
    <row r="44" ht="135" spans="1:29">
      <c r="A44" s="15"/>
      <c r="B44" s="10" t="s">
        <v>227</v>
      </c>
      <c r="C44" s="11" t="s">
        <v>228</v>
      </c>
      <c r="D44" s="12">
        <v>5</v>
      </c>
      <c r="E44" s="12">
        <v>5</v>
      </c>
      <c r="F44" s="12">
        <v>4</v>
      </c>
      <c r="G44" s="12">
        <v>5</v>
      </c>
      <c r="H44" s="12">
        <v>5</v>
      </c>
      <c r="I44" s="12">
        <v>5</v>
      </c>
      <c r="J44" s="12">
        <v>5</v>
      </c>
      <c r="K44" s="13">
        <f t="shared" si="6"/>
        <v>34</v>
      </c>
      <c r="L44" s="12">
        <v>5</v>
      </c>
      <c r="M44" s="12">
        <v>4</v>
      </c>
      <c r="N44" s="12">
        <v>3</v>
      </c>
      <c r="O44" s="12">
        <v>4</v>
      </c>
      <c r="P44" s="12">
        <v>1</v>
      </c>
      <c r="Q44" s="12">
        <v>4</v>
      </c>
      <c r="R44" s="12">
        <v>4</v>
      </c>
      <c r="S44" s="12">
        <v>5</v>
      </c>
      <c r="T44" s="12">
        <v>5</v>
      </c>
      <c r="U44" s="12">
        <v>5</v>
      </c>
      <c r="V44" s="12">
        <v>5</v>
      </c>
      <c r="W44" s="12">
        <v>4</v>
      </c>
      <c r="X44" s="12">
        <v>2</v>
      </c>
      <c r="Y44" s="12">
        <v>4</v>
      </c>
      <c r="Z44" s="12">
        <v>3</v>
      </c>
      <c r="AA44" s="12">
        <v>4</v>
      </c>
      <c r="AB44" s="13">
        <f t="shared" si="7"/>
        <v>62</v>
      </c>
      <c r="AC44" s="14"/>
    </row>
    <row r="45" ht="135" spans="1:29">
      <c r="A45" s="15"/>
      <c r="B45" s="10" t="s">
        <v>229</v>
      </c>
      <c r="C45" s="11" t="s">
        <v>230</v>
      </c>
      <c r="D45" s="12">
        <v>5</v>
      </c>
      <c r="E45" s="12">
        <v>5</v>
      </c>
      <c r="F45" s="12">
        <v>4</v>
      </c>
      <c r="G45" s="12">
        <v>5</v>
      </c>
      <c r="H45" s="12">
        <v>5</v>
      </c>
      <c r="I45" s="12">
        <v>5</v>
      </c>
      <c r="J45" s="12">
        <v>5</v>
      </c>
      <c r="K45" s="13">
        <f t="shared" si="6"/>
        <v>34</v>
      </c>
      <c r="L45" s="12">
        <v>5</v>
      </c>
      <c r="M45" s="12">
        <v>4</v>
      </c>
      <c r="N45" s="12">
        <v>3</v>
      </c>
      <c r="O45" s="12">
        <v>4</v>
      </c>
      <c r="P45" s="12">
        <v>2</v>
      </c>
      <c r="Q45" s="12">
        <v>4</v>
      </c>
      <c r="R45" s="12">
        <v>4</v>
      </c>
      <c r="S45" s="12">
        <v>5</v>
      </c>
      <c r="T45" s="12">
        <v>5</v>
      </c>
      <c r="U45" s="12">
        <v>5</v>
      </c>
      <c r="V45" s="12">
        <v>5</v>
      </c>
      <c r="W45" s="12">
        <v>4</v>
      </c>
      <c r="X45" s="12">
        <v>2</v>
      </c>
      <c r="Y45" s="12">
        <v>4</v>
      </c>
      <c r="Z45" s="12">
        <v>3</v>
      </c>
      <c r="AA45" s="12">
        <v>4</v>
      </c>
      <c r="AB45" s="13">
        <f t="shared" si="7"/>
        <v>63</v>
      </c>
      <c r="AC45" s="14"/>
    </row>
    <row r="46" ht="208" customHeight="1" spans="1:29">
      <c r="A46" s="15"/>
      <c r="B46" s="10" t="s">
        <v>231</v>
      </c>
      <c r="C46" s="11" t="s">
        <v>232</v>
      </c>
      <c r="D46" s="12">
        <v>5</v>
      </c>
      <c r="E46" s="12">
        <v>5</v>
      </c>
      <c r="F46" s="12">
        <v>5</v>
      </c>
      <c r="G46" s="12">
        <v>5</v>
      </c>
      <c r="H46" s="12">
        <v>5</v>
      </c>
      <c r="I46" s="12">
        <v>5</v>
      </c>
      <c r="J46" s="12">
        <v>5</v>
      </c>
      <c r="K46" s="13">
        <f t="shared" si="6"/>
        <v>35</v>
      </c>
      <c r="L46" s="12">
        <v>5</v>
      </c>
      <c r="M46" s="12">
        <v>5</v>
      </c>
      <c r="N46" s="12">
        <v>3</v>
      </c>
      <c r="O46" s="12">
        <v>5</v>
      </c>
      <c r="P46" s="12">
        <v>4</v>
      </c>
      <c r="Q46" s="12">
        <v>4</v>
      </c>
      <c r="R46" s="12">
        <v>4</v>
      </c>
      <c r="S46" s="12">
        <v>5</v>
      </c>
      <c r="T46" s="12">
        <v>5</v>
      </c>
      <c r="U46" s="12">
        <v>5</v>
      </c>
      <c r="V46" s="12">
        <v>5</v>
      </c>
      <c r="W46" s="12">
        <v>3</v>
      </c>
      <c r="X46" s="12">
        <v>3</v>
      </c>
      <c r="Y46" s="12">
        <v>4</v>
      </c>
      <c r="Z46" s="12">
        <v>3</v>
      </c>
      <c r="AA46" s="12">
        <v>4</v>
      </c>
      <c r="AB46" s="13">
        <f t="shared" si="7"/>
        <v>67</v>
      </c>
      <c r="AC46" s="14"/>
    </row>
    <row r="47" ht="121.5" spans="1:29">
      <c r="A47" s="15"/>
      <c r="B47" s="10" t="s">
        <v>233</v>
      </c>
      <c r="C47" s="11" t="s">
        <v>234</v>
      </c>
      <c r="D47" s="12">
        <v>5</v>
      </c>
      <c r="E47" s="12">
        <v>5</v>
      </c>
      <c r="F47" s="12">
        <v>5</v>
      </c>
      <c r="G47" s="12">
        <v>5</v>
      </c>
      <c r="H47" s="12">
        <v>5</v>
      </c>
      <c r="I47" s="12">
        <v>5</v>
      </c>
      <c r="J47" s="12">
        <v>5</v>
      </c>
      <c r="K47" s="13">
        <f t="shared" si="6"/>
        <v>35</v>
      </c>
      <c r="L47" s="12">
        <v>5</v>
      </c>
      <c r="M47" s="12">
        <v>4</v>
      </c>
      <c r="N47" s="12">
        <v>3</v>
      </c>
      <c r="O47" s="12">
        <v>4</v>
      </c>
      <c r="P47" s="12">
        <v>2</v>
      </c>
      <c r="Q47" s="12">
        <v>3</v>
      </c>
      <c r="R47" s="12">
        <v>4</v>
      </c>
      <c r="S47" s="12">
        <v>5</v>
      </c>
      <c r="T47" s="12">
        <v>5</v>
      </c>
      <c r="U47" s="12">
        <v>4</v>
      </c>
      <c r="V47" s="12">
        <v>5</v>
      </c>
      <c r="W47" s="12">
        <v>3</v>
      </c>
      <c r="X47" s="12">
        <v>2</v>
      </c>
      <c r="Y47" s="12">
        <v>4</v>
      </c>
      <c r="Z47" s="12">
        <v>3</v>
      </c>
      <c r="AA47" s="12">
        <v>4</v>
      </c>
      <c r="AB47" s="13">
        <f t="shared" si="7"/>
        <v>60</v>
      </c>
      <c r="AC47" s="14"/>
    </row>
    <row r="48" ht="121.5" spans="1:29">
      <c r="A48" s="15"/>
      <c r="B48" s="10" t="s">
        <v>235</v>
      </c>
      <c r="C48" s="11" t="s">
        <v>236</v>
      </c>
      <c r="D48" s="12">
        <v>5</v>
      </c>
      <c r="E48" s="12">
        <v>5</v>
      </c>
      <c r="F48" s="12">
        <v>5</v>
      </c>
      <c r="G48" s="12">
        <v>5</v>
      </c>
      <c r="H48" s="12">
        <v>5</v>
      </c>
      <c r="I48" s="12">
        <v>5</v>
      </c>
      <c r="J48" s="12">
        <v>5</v>
      </c>
      <c r="K48" s="13">
        <f t="shared" si="6"/>
        <v>35</v>
      </c>
      <c r="L48" s="12">
        <v>5</v>
      </c>
      <c r="M48" s="12">
        <v>4</v>
      </c>
      <c r="N48" s="12">
        <v>3</v>
      </c>
      <c r="O48" s="12">
        <v>4</v>
      </c>
      <c r="P48" s="12">
        <v>1</v>
      </c>
      <c r="Q48" s="12">
        <v>4</v>
      </c>
      <c r="R48" s="12">
        <v>4</v>
      </c>
      <c r="S48" s="12">
        <v>5</v>
      </c>
      <c r="T48" s="12">
        <v>5</v>
      </c>
      <c r="U48" s="12">
        <v>5</v>
      </c>
      <c r="V48" s="12">
        <v>5</v>
      </c>
      <c r="W48" s="12">
        <v>4</v>
      </c>
      <c r="X48" s="12">
        <v>2</v>
      </c>
      <c r="Y48" s="12">
        <v>4</v>
      </c>
      <c r="Z48" s="12">
        <v>3</v>
      </c>
      <c r="AA48" s="12">
        <v>4</v>
      </c>
      <c r="AB48" s="13">
        <f t="shared" si="7"/>
        <v>62</v>
      </c>
      <c r="AC48" s="14"/>
    </row>
    <row r="49" ht="135.4" spans="1:29">
      <c r="A49" s="15"/>
      <c r="B49" s="10" t="s">
        <v>237</v>
      </c>
      <c r="C49" s="11" t="s">
        <v>238</v>
      </c>
      <c r="D49" s="12">
        <v>5</v>
      </c>
      <c r="E49" s="12">
        <v>5</v>
      </c>
      <c r="F49" s="12">
        <v>5</v>
      </c>
      <c r="G49" s="12">
        <v>5</v>
      </c>
      <c r="H49" s="12">
        <v>5</v>
      </c>
      <c r="I49" s="12">
        <v>5</v>
      </c>
      <c r="J49" s="12">
        <v>5</v>
      </c>
      <c r="K49" s="13">
        <f t="shared" si="6"/>
        <v>35</v>
      </c>
      <c r="L49" s="12">
        <v>5</v>
      </c>
      <c r="M49" s="12">
        <v>5</v>
      </c>
      <c r="N49" s="12">
        <v>3</v>
      </c>
      <c r="O49" s="12">
        <v>5</v>
      </c>
      <c r="P49" s="12">
        <v>3</v>
      </c>
      <c r="Q49" s="12">
        <v>4</v>
      </c>
      <c r="R49" s="12">
        <v>4</v>
      </c>
      <c r="S49" s="12">
        <v>5</v>
      </c>
      <c r="T49" s="12">
        <v>5</v>
      </c>
      <c r="U49" s="12">
        <v>5</v>
      </c>
      <c r="V49" s="12">
        <v>5</v>
      </c>
      <c r="W49" s="12">
        <v>3</v>
      </c>
      <c r="X49" s="12">
        <v>3</v>
      </c>
      <c r="Y49" s="12">
        <v>3</v>
      </c>
      <c r="Z49" s="12">
        <v>3</v>
      </c>
      <c r="AA49" s="12">
        <v>3</v>
      </c>
      <c r="AB49" s="13">
        <f t="shared" si="7"/>
        <v>64</v>
      </c>
      <c r="AC49" s="14"/>
    </row>
    <row r="50" ht="162" spans="1:29">
      <c r="A50" s="15"/>
      <c r="B50" s="10" t="s">
        <v>239</v>
      </c>
      <c r="C50" s="11" t="s">
        <v>240</v>
      </c>
      <c r="D50" s="12">
        <v>5</v>
      </c>
      <c r="E50" s="12">
        <v>5</v>
      </c>
      <c r="F50" s="12">
        <v>5</v>
      </c>
      <c r="G50" s="12">
        <v>5</v>
      </c>
      <c r="H50" s="12">
        <v>5</v>
      </c>
      <c r="I50" s="12">
        <v>5</v>
      </c>
      <c r="J50" s="12">
        <v>5</v>
      </c>
      <c r="K50" s="13">
        <f t="shared" si="6"/>
        <v>35</v>
      </c>
      <c r="L50" s="12">
        <v>5</v>
      </c>
      <c r="M50" s="12">
        <v>5</v>
      </c>
      <c r="N50" s="12">
        <v>3</v>
      </c>
      <c r="O50" s="12">
        <v>5</v>
      </c>
      <c r="P50" s="12">
        <v>4</v>
      </c>
      <c r="Q50" s="12">
        <v>4</v>
      </c>
      <c r="R50" s="12">
        <v>4</v>
      </c>
      <c r="S50" s="12">
        <v>5</v>
      </c>
      <c r="T50" s="12">
        <v>5</v>
      </c>
      <c r="U50" s="12">
        <v>5</v>
      </c>
      <c r="V50" s="12">
        <v>5</v>
      </c>
      <c r="W50" s="12">
        <v>4</v>
      </c>
      <c r="X50" s="12">
        <v>4</v>
      </c>
      <c r="Y50" s="12">
        <v>4</v>
      </c>
      <c r="Z50" s="12">
        <v>3</v>
      </c>
      <c r="AA50" s="12">
        <v>4</v>
      </c>
      <c r="AB50" s="13">
        <f t="shared" si="7"/>
        <v>69</v>
      </c>
      <c r="AC50" s="14"/>
    </row>
    <row r="51" ht="135" spans="1:29">
      <c r="A51" s="15"/>
      <c r="B51" s="10" t="s">
        <v>241</v>
      </c>
      <c r="C51" s="11" t="s">
        <v>242</v>
      </c>
      <c r="D51" s="12">
        <v>5</v>
      </c>
      <c r="E51" s="12">
        <v>5</v>
      </c>
      <c r="F51" s="12">
        <v>5</v>
      </c>
      <c r="G51" s="12">
        <v>5</v>
      </c>
      <c r="H51" s="12">
        <v>5</v>
      </c>
      <c r="I51" s="12">
        <v>5</v>
      </c>
      <c r="J51" s="12">
        <v>5</v>
      </c>
      <c r="K51" s="13">
        <f t="shared" si="6"/>
        <v>35</v>
      </c>
      <c r="L51" s="12">
        <v>5</v>
      </c>
      <c r="M51" s="12">
        <v>4</v>
      </c>
      <c r="N51" s="12">
        <v>3</v>
      </c>
      <c r="O51" s="12">
        <v>4</v>
      </c>
      <c r="P51" s="12">
        <v>1</v>
      </c>
      <c r="Q51" s="12">
        <v>4</v>
      </c>
      <c r="R51" s="12">
        <v>4</v>
      </c>
      <c r="S51" s="12">
        <v>5</v>
      </c>
      <c r="T51" s="12">
        <v>5</v>
      </c>
      <c r="U51" s="12">
        <v>5</v>
      </c>
      <c r="V51" s="12">
        <v>5</v>
      </c>
      <c r="W51" s="12">
        <v>4</v>
      </c>
      <c r="X51" s="12">
        <v>3</v>
      </c>
      <c r="Y51" s="12">
        <v>4</v>
      </c>
      <c r="Z51" s="12">
        <v>3</v>
      </c>
      <c r="AA51" s="12">
        <v>4</v>
      </c>
      <c r="AB51" s="13">
        <f t="shared" si="7"/>
        <v>63</v>
      </c>
      <c r="AC51" s="14"/>
    </row>
    <row r="52" ht="121.5" spans="1:29">
      <c r="A52" s="15"/>
      <c r="B52" s="10" t="s">
        <v>302</v>
      </c>
      <c r="C52" s="11" t="s">
        <v>303</v>
      </c>
      <c r="D52" s="12">
        <v>5</v>
      </c>
      <c r="E52" s="12">
        <v>5</v>
      </c>
      <c r="F52" s="12">
        <v>5</v>
      </c>
      <c r="G52" s="12">
        <v>5</v>
      </c>
      <c r="H52" s="12">
        <v>5</v>
      </c>
      <c r="I52" s="12">
        <v>5</v>
      </c>
      <c r="J52" s="12">
        <v>5</v>
      </c>
      <c r="K52" s="13">
        <f t="shared" si="6"/>
        <v>35</v>
      </c>
      <c r="L52" s="12">
        <v>5</v>
      </c>
      <c r="M52" s="12">
        <v>4</v>
      </c>
      <c r="N52" s="12">
        <v>3</v>
      </c>
      <c r="O52" s="12">
        <v>4</v>
      </c>
      <c r="P52" s="12">
        <v>1</v>
      </c>
      <c r="Q52" s="12">
        <v>4</v>
      </c>
      <c r="R52" s="12">
        <v>4</v>
      </c>
      <c r="S52" s="12">
        <v>5</v>
      </c>
      <c r="T52" s="12">
        <v>5</v>
      </c>
      <c r="U52" s="12">
        <v>5</v>
      </c>
      <c r="V52" s="12">
        <v>5</v>
      </c>
      <c r="W52" s="12">
        <v>3</v>
      </c>
      <c r="X52" s="12">
        <v>2</v>
      </c>
      <c r="Y52" s="12">
        <v>3</v>
      </c>
      <c r="Z52" s="12">
        <v>3</v>
      </c>
      <c r="AA52" s="12">
        <v>4</v>
      </c>
      <c r="AB52" s="13">
        <f t="shared" si="7"/>
        <v>60</v>
      </c>
      <c r="AC52" s="14"/>
    </row>
    <row r="53" ht="121.5" spans="1:29">
      <c r="A53" s="15"/>
      <c r="B53" s="10" t="s">
        <v>304</v>
      </c>
      <c r="C53" s="11" t="s">
        <v>305</v>
      </c>
      <c r="D53" s="12">
        <v>5</v>
      </c>
      <c r="E53" s="12">
        <v>5</v>
      </c>
      <c r="F53" s="12">
        <v>5</v>
      </c>
      <c r="G53" s="12">
        <v>5</v>
      </c>
      <c r="H53" s="12">
        <v>5</v>
      </c>
      <c r="I53" s="12">
        <v>5</v>
      </c>
      <c r="J53" s="12">
        <v>5</v>
      </c>
      <c r="K53" s="13">
        <f t="shared" si="6"/>
        <v>35</v>
      </c>
      <c r="L53" s="12">
        <v>5</v>
      </c>
      <c r="M53" s="12">
        <v>5</v>
      </c>
      <c r="N53" s="12">
        <v>3</v>
      </c>
      <c r="O53" s="12">
        <v>5</v>
      </c>
      <c r="P53" s="12">
        <v>1</v>
      </c>
      <c r="Q53" s="12">
        <v>4</v>
      </c>
      <c r="R53" s="12">
        <v>4</v>
      </c>
      <c r="S53" s="12">
        <v>5</v>
      </c>
      <c r="T53" s="12">
        <v>5</v>
      </c>
      <c r="U53" s="12">
        <v>5</v>
      </c>
      <c r="V53" s="12">
        <v>5</v>
      </c>
      <c r="W53" s="12">
        <v>3</v>
      </c>
      <c r="X53" s="12">
        <v>1</v>
      </c>
      <c r="Y53" s="12">
        <v>2</v>
      </c>
      <c r="Z53" s="12">
        <v>3</v>
      </c>
      <c r="AA53" s="12">
        <v>3</v>
      </c>
      <c r="AB53" s="13">
        <f t="shared" si="7"/>
        <v>59</v>
      </c>
      <c r="AC53" s="13"/>
    </row>
    <row r="54" ht="108" spans="1:29">
      <c r="A54" s="15"/>
      <c r="B54" s="10" t="s">
        <v>306</v>
      </c>
      <c r="C54" s="11" t="s">
        <v>307</v>
      </c>
      <c r="D54" s="12">
        <v>5</v>
      </c>
      <c r="E54" s="12">
        <v>5</v>
      </c>
      <c r="F54" s="12">
        <v>5</v>
      </c>
      <c r="G54" s="12">
        <v>5</v>
      </c>
      <c r="H54" s="12">
        <v>5</v>
      </c>
      <c r="I54" s="12">
        <v>5</v>
      </c>
      <c r="J54" s="12">
        <v>5</v>
      </c>
      <c r="K54" s="13">
        <f t="shared" si="6"/>
        <v>35</v>
      </c>
      <c r="L54" s="12">
        <v>5</v>
      </c>
      <c r="M54" s="12">
        <v>4</v>
      </c>
      <c r="N54" s="12">
        <v>3</v>
      </c>
      <c r="O54" s="12">
        <v>4</v>
      </c>
      <c r="P54" s="12">
        <v>1</v>
      </c>
      <c r="Q54" s="12">
        <v>4</v>
      </c>
      <c r="R54" s="12">
        <v>4</v>
      </c>
      <c r="S54" s="12">
        <v>5</v>
      </c>
      <c r="T54" s="12">
        <v>5</v>
      </c>
      <c r="U54" s="12">
        <v>5</v>
      </c>
      <c r="V54" s="12">
        <v>5</v>
      </c>
      <c r="W54" s="12">
        <v>3</v>
      </c>
      <c r="X54" s="12">
        <v>2</v>
      </c>
      <c r="Y54" s="12">
        <v>3</v>
      </c>
      <c r="Z54" s="12">
        <v>3</v>
      </c>
      <c r="AA54" s="12">
        <v>4</v>
      </c>
      <c r="AB54" s="13">
        <f t="shared" si="7"/>
        <v>60</v>
      </c>
      <c r="AC54" s="14"/>
    </row>
    <row r="55" ht="121.5" spans="1:29">
      <c r="A55" s="15"/>
      <c r="B55" s="10" t="s">
        <v>308</v>
      </c>
      <c r="C55" s="11" t="s">
        <v>309</v>
      </c>
      <c r="D55" s="12">
        <v>5</v>
      </c>
      <c r="E55" s="12">
        <v>4</v>
      </c>
      <c r="F55" s="12">
        <v>5</v>
      </c>
      <c r="G55" s="12">
        <v>5</v>
      </c>
      <c r="H55" s="12">
        <v>5</v>
      </c>
      <c r="I55" s="12">
        <v>5</v>
      </c>
      <c r="J55" s="12">
        <v>4</v>
      </c>
      <c r="K55" s="13">
        <f t="shared" si="6"/>
        <v>33</v>
      </c>
      <c r="L55" s="12">
        <v>5</v>
      </c>
      <c r="M55" s="12">
        <v>4</v>
      </c>
      <c r="N55" s="12">
        <v>3</v>
      </c>
      <c r="O55" s="12">
        <v>4</v>
      </c>
      <c r="P55" s="12">
        <v>1</v>
      </c>
      <c r="Q55" s="12">
        <v>4</v>
      </c>
      <c r="R55" s="12">
        <v>4</v>
      </c>
      <c r="S55" s="12">
        <v>5</v>
      </c>
      <c r="T55" s="12">
        <v>5</v>
      </c>
      <c r="U55" s="12">
        <v>5</v>
      </c>
      <c r="V55" s="12">
        <v>5</v>
      </c>
      <c r="W55" s="12">
        <v>4</v>
      </c>
      <c r="X55" s="12">
        <v>2</v>
      </c>
      <c r="Y55" s="12">
        <v>3</v>
      </c>
      <c r="Z55" s="12">
        <v>3</v>
      </c>
      <c r="AA55" s="12">
        <v>4</v>
      </c>
      <c r="AB55" s="13">
        <f t="shared" si="7"/>
        <v>61</v>
      </c>
      <c r="AC55" s="14"/>
    </row>
    <row r="56" ht="162" spans="1:29">
      <c r="A56" s="15"/>
      <c r="B56" s="10" t="s">
        <v>310</v>
      </c>
      <c r="C56" s="11" t="s">
        <v>311</v>
      </c>
      <c r="D56" s="12">
        <v>5</v>
      </c>
      <c r="E56" s="12">
        <v>4</v>
      </c>
      <c r="F56" s="12">
        <v>5</v>
      </c>
      <c r="G56" s="12">
        <v>5</v>
      </c>
      <c r="H56" s="12">
        <v>5</v>
      </c>
      <c r="I56" s="12">
        <v>5</v>
      </c>
      <c r="J56" s="12">
        <v>4</v>
      </c>
      <c r="K56" s="13">
        <f t="shared" si="6"/>
        <v>33</v>
      </c>
      <c r="L56" s="12">
        <v>5</v>
      </c>
      <c r="M56" s="12">
        <v>4</v>
      </c>
      <c r="N56" s="12">
        <v>3</v>
      </c>
      <c r="O56" s="12">
        <v>4</v>
      </c>
      <c r="P56" s="12">
        <v>1</v>
      </c>
      <c r="Q56" s="12">
        <v>4</v>
      </c>
      <c r="R56" s="12">
        <v>4</v>
      </c>
      <c r="S56" s="12">
        <v>5</v>
      </c>
      <c r="T56" s="12">
        <v>5</v>
      </c>
      <c r="U56" s="12">
        <v>5</v>
      </c>
      <c r="V56" s="12">
        <v>5</v>
      </c>
      <c r="W56" s="12">
        <v>4</v>
      </c>
      <c r="X56" s="12">
        <v>2</v>
      </c>
      <c r="Y56" s="12">
        <v>4</v>
      </c>
      <c r="Z56" s="12">
        <v>3</v>
      </c>
      <c r="AA56" s="12">
        <v>4</v>
      </c>
      <c r="AB56" s="13">
        <f t="shared" si="7"/>
        <v>62</v>
      </c>
      <c r="AC56" s="14"/>
    </row>
    <row r="57" ht="135" spans="1:29">
      <c r="A57" s="15"/>
      <c r="B57" s="10" t="s">
        <v>312</v>
      </c>
      <c r="C57" s="11" t="s">
        <v>313</v>
      </c>
      <c r="D57" s="12">
        <v>5</v>
      </c>
      <c r="E57" s="12">
        <v>5</v>
      </c>
      <c r="F57" s="12">
        <v>5</v>
      </c>
      <c r="G57" s="12">
        <v>5</v>
      </c>
      <c r="H57" s="12">
        <v>5</v>
      </c>
      <c r="I57" s="12">
        <v>5</v>
      </c>
      <c r="J57" s="12">
        <v>5</v>
      </c>
      <c r="K57" s="13">
        <f t="shared" si="6"/>
        <v>35</v>
      </c>
      <c r="L57" s="12">
        <v>5</v>
      </c>
      <c r="M57" s="12">
        <v>4</v>
      </c>
      <c r="N57" s="12">
        <v>3</v>
      </c>
      <c r="O57" s="12">
        <v>4</v>
      </c>
      <c r="P57" s="12">
        <v>1</v>
      </c>
      <c r="Q57" s="12">
        <v>4</v>
      </c>
      <c r="R57" s="12">
        <v>4</v>
      </c>
      <c r="S57" s="12">
        <v>5</v>
      </c>
      <c r="T57" s="12">
        <v>5</v>
      </c>
      <c r="U57" s="12">
        <v>5</v>
      </c>
      <c r="V57" s="12">
        <v>5</v>
      </c>
      <c r="W57" s="12">
        <v>3</v>
      </c>
      <c r="X57" s="12">
        <v>2</v>
      </c>
      <c r="Y57" s="12">
        <v>4</v>
      </c>
      <c r="Z57" s="12">
        <v>3</v>
      </c>
      <c r="AA57" s="12">
        <v>3</v>
      </c>
      <c r="AB57" s="13">
        <f t="shared" si="7"/>
        <v>60</v>
      </c>
      <c r="AC57" s="14"/>
    </row>
    <row r="58" ht="108" spans="1:29">
      <c r="A58" s="15"/>
      <c r="B58" s="10" t="s">
        <v>314</v>
      </c>
      <c r="C58" s="11" t="s">
        <v>315</v>
      </c>
      <c r="D58" s="12">
        <v>5</v>
      </c>
      <c r="E58" s="12">
        <v>4</v>
      </c>
      <c r="F58" s="12">
        <v>5</v>
      </c>
      <c r="G58" s="12">
        <v>5</v>
      </c>
      <c r="H58" s="12">
        <v>5</v>
      </c>
      <c r="I58" s="12">
        <v>5</v>
      </c>
      <c r="J58" s="12">
        <v>4</v>
      </c>
      <c r="K58" s="13">
        <f t="shared" si="6"/>
        <v>33</v>
      </c>
      <c r="L58" s="12">
        <v>5</v>
      </c>
      <c r="M58" s="12">
        <v>4</v>
      </c>
      <c r="N58" s="12">
        <v>3</v>
      </c>
      <c r="O58" s="12">
        <v>4</v>
      </c>
      <c r="P58" s="12">
        <v>1</v>
      </c>
      <c r="Q58" s="12">
        <v>4</v>
      </c>
      <c r="R58" s="12">
        <v>4</v>
      </c>
      <c r="S58" s="12">
        <v>5</v>
      </c>
      <c r="T58" s="12">
        <v>5</v>
      </c>
      <c r="U58" s="12">
        <v>5</v>
      </c>
      <c r="V58" s="12">
        <v>5</v>
      </c>
      <c r="W58" s="12">
        <v>4</v>
      </c>
      <c r="X58" s="12">
        <v>2</v>
      </c>
      <c r="Y58" s="12">
        <v>4</v>
      </c>
      <c r="Z58" s="12">
        <v>3</v>
      </c>
      <c r="AA58" s="12">
        <v>4</v>
      </c>
      <c r="AB58" s="13">
        <f t="shared" si="7"/>
        <v>62</v>
      </c>
      <c r="AC58" s="14"/>
    </row>
    <row r="59" spans="1:29">
      <c r="D59">
        <f>AVERAGE(D34:D58)</f>
        <v>5</v>
      </c>
      <c r="E59">
        <f t="shared" ref="E59:AB59" si="8">AVERAGE(E34:E58)</f>
        <v>4.88</v>
      </c>
      <c r="F59">
        <f t="shared" si="8"/>
        <v>4.76</v>
      </c>
      <c r="G59">
        <f t="shared" si="8"/>
        <v>5</v>
      </c>
      <c r="H59">
        <f t="shared" si="8"/>
        <v>5</v>
      </c>
      <c r="I59">
        <f t="shared" si="8"/>
        <v>5</v>
      </c>
      <c r="J59">
        <f t="shared" si="8"/>
        <v>4.88</v>
      </c>
      <c r="K59">
        <f t="shared" si="8"/>
        <v>34.52</v>
      </c>
      <c r="L59">
        <f t="shared" si="8"/>
        <v>5</v>
      </c>
      <c r="M59">
        <f t="shared" si="8"/>
        <v>4.56</v>
      </c>
      <c r="N59">
        <f t="shared" si="8"/>
        <v>2.92</v>
      </c>
      <c r="O59">
        <f t="shared" si="8"/>
        <v>4.56</v>
      </c>
      <c r="P59">
        <f t="shared" si="8"/>
        <v>2.4</v>
      </c>
      <c r="Q59">
        <f t="shared" si="8"/>
        <v>3.96</v>
      </c>
      <c r="R59">
        <f t="shared" si="8"/>
        <v>4.2</v>
      </c>
      <c r="S59">
        <f t="shared" si="8"/>
        <v>5</v>
      </c>
      <c r="T59">
        <f t="shared" si="8"/>
        <v>5</v>
      </c>
      <c r="U59">
        <f t="shared" si="8"/>
        <v>4.96</v>
      </c>
      <c r="V59">
        <f t="shared" si="8"/>
        <v>4.96</v>
      </c>
      <c r="W59">
        <f t="shared" si="8"/>
        <v>3.96</v>
      </c>
      <c r="X59">
        <f t="shared" si="8"/>
        <v>2.64</v>
      </c>
      <c r="Y59">
        <f t="shared" si="8"/>
        <v>3.76</v>
      </c>
      <c r="Z59">
        <f t="shared" si="8"/>
        <v>3</v>
      </c>
      <c r="AA59">
        <f t="shared" si="8"/>
        <v>3.88</v>
      </c>
      <c r="AB59">
        <f t="shared" si="8"/>
        <v>64.76</v>
      </c>
    </row>
    <row r="61" ht="135" spans="1:29">
      <c r="A61" s="20" t="s">
        <v>397</v>
      </c>
      <c r="B61" s="17" t="s">
        <v>243</v>
      </c>
      <c r="C61" s="11" t="s">
        <v>244</v>
      </c>
      <c r="D61" s="12">
        <v>5</v>
      </c>
      <c r="E61" s="12">
        <v>5</v>
      </c>
      <c r="F61" s="12">
        <v>5</v>
      </c>
      <c r="G61" s="12">
        <v>5</v>
      </c>
      <c r="H61" s="12">
        <v>5</v>
      </c>
      <c r="I61" s="12">
        <v>5</v>
      </c>
      <c r="J61" s="12">
        <v>5</v>
      </c>
      <c r="K61" s="13">
        <f t="shared" ref="K61:K78" si="9">SUM(D61:J61)</f>
        <v>35</v>
      </c>
      <c r="L61" s="12">
        <v>5</v>
      </c>
      <c r="M61" s="12">
        <v>5</v>
      </c>
      <c r="N61" s="12">
        <v>2</v>
      </c>
      <c r="O61" s="12">
        <v>5</v>
      </c>
      <c r="P61" s="12">
        <v>3</v>
      </c>
      <c r="Q61" s="12">
        <v>5</v>
      </c>
      <c r="R61" s="12">
        <v>4</v>
      </c>
      <c r="S61" s="12">
        <v>5</v>
      </c>
      <c r="T61" s="12">
        <v>5</v>
      </c>
      <c r="U61" s="12">
        <v>5</v>
      </c>
      <c r="V61" s="12">
        <v>5</v>
      </c>
      <c r="W61" s="12">
        <v>4</v>
      </c>
      <c r="X61" s="12">
        <v>3</v>
      </c>
      <c r="Y61" s="12">
        <v>4</v>
      </c>
      <c r="Z61" s="12">
        <v>3</v>
      </c>
      <c r="AA61" s="12">
        <v>4</v>
      </c>
      <c r="AB61" s="13">
        <f t="shared" ref="AB61:AB78" si="10">SUM(L61:AA61)</f>
        <v>67</v>
      </c>
      <c r="AC61" s="14"/>
    </row>
    <row r="62" ht="135" spans="1:29">
      <c r="A62" s="20"/>
      <c r="B62" s="17" t="s">
        <v>245</v>
      </c>
      <c r="C62" s="11" t="s">
        <v>246</v>
      </c>
      <c r="D62" s="12">
        <v>5</v>
      </c>
      <c r="E62" s="12">
        <v>5</v>
      </c>
      <c r="F62" s="12">
        <v>5</v>
      </c>
      <c r="G62" s="12">
        <v>5</v>
      </c>
      <c r="H62" s="12">
        <v>5</v>
      </c>
      <c r="I62" s="12">
        <v>5</v>
      </c>
      <c r="J62" s="12">
        <v>5</v>
      </c>
      <c r="K62" s="13">
        <f t="shared" si="9"/>
        <v>35</v>
      </c>
      <c r="L62" s="12">
        <v>5</v>
      </c>
      <c r="M62" s="12">
        <v>5</v>
      </c>
      <c r="N62" s="12">
        <v>3</v>
      </c>
      <c r="O62" s="12">
        <v>4</v>
      </c>
      <c r="P62" s="12">
        <v>3</v>
      </c>
      <c r="Q62" s="12">
        <v>5</v>
      </c>
      <c r="R62" s="12">
        <v>4</v>
      </c>
      <c r="S62" s="12">
        <v>5</v>
      </c>
      <c r="T62" s="12">
        <v>5</v>
      </c>
      <c r="U62" s="12">
        <v>5</v>
      </c>
      <c r="V62" s="12">
        <v>5</v>
      </c>
      <c r="W62" s="12">
        <v>4</v>
      </c>
      <c r="X62" s="12">
        <v>3</v>
      </c>
      <c r="Y62" s="12">
        <v>4</v>
      </c>
      <c r="Z62" s="12">
        <v>3</v>
      </c>
      <c r="AA62" s="12">
        <v>4</v>
      </c>
      <c r="AB62" s="13">
        <f t="shared" si="10"/>
        <v>67</v>
      </c>
      <c r="AC62" s="14"/>
    </row>
    <row r="63" ht="148.5" spans="1:29">
      <c r="A63" s="20"/>
      <c r="B63" s="17" t="s">
        <v>247</v>
      </c>
      <c r="C63" s="11" t="s">
        <v>87</v>
      </c>
      <c r="D63" s="12">
        <v>5</v>
      </c>
      <c r="E63" s="12">
        <v>5</v>
      </c>
      <c r="F63" s="12">
        <v>5</v>
      </c>
      <c r="G63" s="12">
        <v>5</v>
      </c>
      <c r="H63" s="12">
        <v>5</v>
      </c>
      <c r="I63" s="12">
        <v>5</v>
      </c>
      <c r="J63" s="12">
        <v>5</v>
      </c>
      <c r="K63" s="13">
        <f t="shared" si="9"/>
        <v>35</v>
      </c>
      <c r="L63" s="12">
        <v>5</v>
      </c>
      <c r="M63" s="12">
        <v>5</v>
      </c>
      <c r="N63" s="12">
        <v>2</v>
      </c>
      <c r="O63" s="12">
        <v>4</v>
      </c>
      <c r="P63" s="12">
        <v>3</v>
      </c>
      <c r="Q63" s="12">
        <v>5</v>
      </c>
      <c r="R63" s="12">
        <v>4</v>
      </c>
      <c r="S63" s="12">
        <v>5</v>
      </c>
      <c r="T63" s="12">
        <v>5</v>
      </c>
      <c r="U63" s="12">
        <v>5</v>
      </c>
      <c r="V63" s="12">
        <v>5</v>
      </c>
      <c r="W63" s="12">
        <v>4</v>
      </c>
      <c r="X63" s="12">
        <v>2</v>
      </c>
      <c r="Y63" s="12">
        <v>4</v>
      </c>
      <c r="Z63" s="12">
        <v>3</v>
      </c>
      <c r="AA63" s="12">
        <v>4</v>
      </c>
      <c r="AB63" s="13">
        <f t="shared" si="10"/>
        <v>65</v>
      </c>
      <c r="AC63" s="14"/>
    </row>
    <row r="64" ht="162" spans="1:29">
      <c r="A64" s="20"/>
      <c r="B64" s="17" t="s">
        <v>248</v>
      </c>
      <c r="C64" s="11" t="s">
        <v>249</v>
      </c>
      <c r="D64" s="12">
        <v>5</v>
      </c>
      <c r="E64" s="12">
        <v>5</v>
      </c>
      <c r="F64" s="12">
        <v>4</v>
      </c>
      <c r="G64" s="12">
        <v>5</v>
      </c>
      <c r="H64" s="12">
        <v>5</v>
      </c>
      <c r="I64" s="12">
        <v>5</v>
      </c>
      <c r="J64" s="12">
        <v>4</v>
      </c>
      <c r="K64" s="13">
        <f t="shared" si="9"/>
        <v>33</v>
      </c>
      <c r="L64" s="12">
        <v>5</v>
      </c>
      <c r="M64" s="12">
        <v>5</v>
      </c>
      <c r="N64" s="12">
        <v>2</v>
      </c>
      <c r="O64" s="12">
        <v>5</v>
      </c>
      <c r="P64" s="12">
        <v>3</v>
      </c>
      <c r="Q64" s="12">
        <v>5</v>
      </c>
      <c r="R64" s="12">
        <v>4</v>
      </c>
      <c r="S64" s="12">
        <v>5</v>
      </c>
      <c r="T64" s="12">
        <v>5</v>
      </c>
      <c r="U64" s="12">
        <v>5</v>
      </c>
      <c r="V64" s="12">
        <v>5</v>
      </c>
      <c r="W64" s="12">
        <v>4</v>
      </c>
      <c r="X64" s="12">
        <v>2</v>
      </c>
      <c r="Y64" s="12">
        <v>4</v>
      </c>
      <c r="Z64" s="12">
        <v>3</v>
      </c>
      <c r="AA64" s="12">
        <v>4</v>
      </c>
      <c r="AB64" s="13">
        <f t="shared" si="10"/>
        <v>66</v>
      </c>
      <c r="AC64" s="14"/>
    </row>
    <row r="65" ht="175.5" spans="1:29">
      <c r="A65" s="20"/>
      <c r="B65" s="17" t="s">
        <v>250</v>
      </c>
      <c r="C65" s="11" t="s">
        <v>251</v>
      </c>
      <c r="D65" s="12">
        <v>5</v>
      </c>
      <c r="E65" s="12">
        <v>5</v>
      </c>
      <c r="F65" s="12">
        <v>4</v>
      </c>
      <c r="G65" s="12">
        <v>5</v>
      </c>
      <c r="H65" s="12">
        <v>5</v>
      </c>
      <c r="I65" s="12">
        <v>5</v>
      </c>
      <c r="J65" s="12">
        <v>5</v>
      </c>
      <c r="K65" s="13">
        <f t="shared" si="9"/>
        <v>34</v>
      </c>
      <c r="L65" s="12">
        <v>5</v>
      </c>
      <c r="M65" s="12">
        <v>5</v>
      </c>
      <c r="N65" s="12">
        <v>2</v>
      </c>
      <c r="O65" s="12">
        <v>5</v>
      </c>
      <c r="P65" s="12">
        <v>3</v>
      </c>
      <c r="Q65" s="12">
        <v>5</v>
      </c>
      <c r="R65" s="12">
        <v>4</v>
      </c>
      <c r="S65" s="12">
        <v>5</v>
      </c>
      <c r="T65" s="12">
        <v>5</v>
      </c>
      <c r="U65" s="12">
        <v>5</v>
      </c>
      <c r="V65" s="12">
        <v>5</v>
      </c>
      <c r="W65" s="12">
        <v>4</v>
      </c>
      <c r="X65" s="12">
        <v>2</v>
      </c>
      <c r="Y65" s="12">
        <v>4</v>
      </c>
      <c r="Z65" s="12">
        <v>3</v>
      </c>
      <c r="AA65" s="12">
        <v>4</v>
      </c>
      <c r="AB65" s="13">
        <f t="shared" si="10"/>
        <v>66</v>
      </c>
      <c r="AC65" s="14"/>
    </row>
    <row r="66" ht="189" spans="1:29">
      <c r="A66" s="20"/>
      <c r="B66" s="17" t="s">
        <v>252</v>
      </c>
      <c r="C66" s="11" t="s">
        <v>253</v>
      </c>
      <c r="D66" s="12">
        <v>5</v>
      </c>
      <c r="E66" s="12">
        <v>5</v>
      </c>
      <c r="F66" s="12">
        <v>4</v>
      </c>
      <c r="G66" s="12">
        <v>5</v>
      </c>
      <c r="H66" s="12">
        <v>5</v>
      </c>
      <c r="I66" s="12">
        <v>5</v>
      </c>
      <c r="J66" s="12">
        <v>4</v>
      </c>
      <c r="K66" s="13">
        <f t="shared" si="9"/>
        <v>33</v>
      </c>
      <c r="L66" s="12">
        <v>5</v>
      </c>
      <c r="M66" s="12">
        <v>5</v>
      </c>
      <c r="N66" s="12">
        <v>3</v>
      </c>
      <c r="O66" s="12">
        <v>5</v>
      </c>
      <c r="P66" s="12">
        <v>3</v>
      </c>
      <c r="Q66" s="12">
        <v>5</v>
      </c>
      <c r="R66" s="12">
        <v>4</v>
      </c>
      <c r="S66" s="12">
        <v>5</v>
      </c>
      <c r="T66" s="12">
        <v>5</v>
      </c>
      <c r="U66" s="12">
        <v>5</v>
      </c>
      <c r="V66" s="12">
        <v>5</v>
      </c>
      <c r="W66" s="12">
        <v>4</v>
      </c>
      <c r="X66" s="12">
        <v>3</v>
      </c>
      <c r="Y66" s="12">
        <v>4</v>
      </c>
      <c r="Z66" s="12">
        <v>3</v>
      </c>
      <c r="AA66" s="12">
        <v>4</v>
      </c>
      <c r="AB66" s="13">
        <f t="shared" si="10"/>
        <v>68</v>
      </c>
      <c r="AC66" s="14"/>
    </row>
    <row r="67" ht="157" customHeight="1" spans="1:29">
      <c r="A67" s="20"/>
      <c r="B67" s="17" t="s">
        <v>254</v>
      </c>
      <c r="C67" s="11" t="s">
        <v>255</v>
      </c>
      <c r="D67" s="12">
        <v>5</v>
      </c>
      <c r="E67" s="12">
        <v>5</v>
      </c>
      <c r="F67" s="12">
        <v>4</v>
      </c>
      <c r="G67" s="12">
        <v>5</v>
      </c>
      <c r="H67" s="12">
        <v>5</v>
      </c>
      <c r="I67" s="12">
        <v>5</v>
      </c>
      <c r="J67" s="12">
        <v>5</v>
      </c>
      <c r="K67" s="13">
        <f t="shared" si="9"/>
        <v>34</v>
      </c>
      <c r="L67" s="12">
        <v>5</v>
      </c>
      <c r="M67" s="12">
        <v>5</v>
      </c>
      <c r="N67" s="12">
        <v>3</v>
      </c>
      <c r="O67" s="12">
        <v>5</v>
      </c>
      <c r="P67" s="12">
        <v>3</v>
      </c>
      <c r="Q67" s="12">
        <v>5</v>
      </c>
      <c r="R67" s="12">
        <v>4</v>
      </c>
      <c r="S67" s="12">
        <v>5</v>
      </c>
      <c r="T67" s="12">
        <v>5</v>
      </c>
      <c r="U67" s="12">
        <v>5</v>
      </c>
      <c r="V67" s="12">
        <v>5</v>
      </c>
      <c r="W67" s="12">
        <v>4</v>
      </c>
      <c r="X67" s="12">
        <v>3</v>
      </c>
      <c r="Y67" s="12">
        <v>4</v>
      </c>
      <c r="Z67" s="12">
        <v>3</v>
      </c>
      <c r="AA67" s="12">
        <v>4</v>
      </c>
      <c r="AB67" s="13">
        <f t="shared" si="10"/>
        <v>68</v>
      </c>
      <c r="AC67" s="14"/>
    </row>
    <row r="68" ht="216" spans="1:29">
      <c r="A68" s="20"/>
      <c r="B68" s="17" t="s">
        <v>256</v>
      </c>
      <c r="C68" s="11" t="s">
        <v>257</v>
      </c>
      <c r="D68" s="12">
        <v>5</v>
      </c>
      <c r="E68" s="12">
        <v>5</v>
      </c>
      <c r="F68" s="12">
        <v>4</v>
      </c>
      <c r="G68" s="12">
        <v>5</v>
      </c>
      <c r="H68" s="12">
        <v>5</v>
      </c>
      <c r="I68" s="12">
        <v>5</v>
      </c>
      <c r="J68" s="12">
        <v>5</v>
      </c>
      <c r="K68" s="13">
        <f t="shared" si="9"/>
        <v>34</v>
      </c>
      <c r="L68" s="12">
        <v>5</v>
      </c>
      <c r="M68" s="12">
        <v>5</v>
      </c>
      <c r="N68" s="12">
        <v>3</v>
      </c>
      <c r="O68" s="12">
        <v>5</v>
      </c>
      <c r="P68" s="12">
        <v>3</v>
      </c>
      <c r="Q68" s="12">
        <v>5</v>
      </c>
      <c r="R68" s="12">
        <v>4</v>
      </c>
      <c r="S68" s="12">
        <v>5</v>
      </c>
      <c r="T68" s="12">
        <v>5</v>
      </c>
      <c r="U68" s="12">
        <v>5</v>
      </c>
      <c r="V68" s="12">
        <v>5</v>
      </c>
      <c r="W68" s="12">
        <v>4</v>
      </c>
      <c r="X68" s="12">
        <v>3</v>
      </c>
      <c r="Y68" s="12">
        <v>4</v>
      </c>
      <c r="Z68" s="12">
        <v>3</v>
      </c>
      <c r="AA68" s="12">
        <v>4</v>
      </c>
      <c r="AB68" s="13">
        <f t="shared" si="10"/>
        <v>68</v>
      </c>
      <c r="AC68" s="14"/>
    </row>
    <row r="69" ht="162" spans="1:29">
      <c r="A69" s="20"/>
      <c r="B69" s="17" t="s">
        <v>258</v>
      </c>
      <c r="C69" s="11" t="s">
        <v>259</v>
      </c>
      <c r="D69" s="12">
        <v>5</v>
      </c>
      <c r="E69" s="12">
        <v>5</v>
      </c>
      <c r="F69" s="12">
        <v>5</v>
      </c>
      <c r="G69" s="12">
        <v>5</v>
      </c>
      <c r="H69" s="12">
        <v>5</v>
      </c>
      <c r="I69" s="12">
        <v>5</v>
      </c>
      <c r="J69" s="12">
        <v>5</v>
      </c>
      <c r="K69" s="13">
        <f t="shared" si="9"/>
        <v>35</v>
      </c>
      <c r="L69" s="12">
        <v>5</v>
      </c>
      <c r="M69" s="12">
        <v>5</v>
      </c>
      <c r="N69" s="12">
        <v>2</v>
      </c>
      <c r="O69" s="12">
        <v>5</v>
      </c>
      <c r="P69" s="12">
        <v>3</v>
      </c>
      <c r="Q69" s="12">
        <v>5</v>
      </c>
      <c r="R69" s="12">
        <v>4</v>
      </c>
      <c r="S69" s="12">
        <v>5</v>
      </c>
      <c r="T69" s="12">
        <v>5</v>
      </c>
      <c r="U69" s="12">
        <v>5</v>
      </c>
      <c r="V69" s="12">
        <v>5</v>
      </c>
      <c r="W69" s="12">
        <v>4</v>
      </c>
      <c r="X69" s="12">
        <v>4</v>
      </c>
      <c r="Y69" s="12">
        <v>4</v>
      </c>
      <c r="Z69" s="12">
        <v>3</v>
      </c>
      <c r="AA69" s="12">
        <v>4</v>
      </c>
      <c r="AB69" s="13">
        <f t="shared" si="10"/>
        <v>68</v>
      </c>
      <c r="AC69" s="14"/>
    </row>
    <row r="70" ht="148.5" spans="1:29">
      <c r="A70" s="20"/>
      <c r="B70" s="17" t="s">
        <v>260</v>
      </c>
      <c r="C70" s="11" t="s">
        <v>261</v>
      </c>
      <c r="D70" s="12">
        <v>5</v>
      </c>
      <c r="E70" s="12">
        <v>5</v>
      </c>
      <c r="F70" s="12">
        <v>5</v>
      </c>
      <c r="G70" s="12">
        <v>5</v>
      </c>
      <c r="H70" s="12">
        <v>5</v>
      </c>
      <c r="I70" s="12">
        <v>5</v>
      </c>
      <c r="J70" s="12">
        <v>5</v>
      </c>
      <c r="K70" s="13">
        <f t="shared" si="9"/>
        <v>35</v>
      </c>
      <c r="L70" s="12">
        <v>5</v>
      </c>
      <c r="M70" s="12">
        <v>5</v>
      </c>
      <c r="N70" s="12">
        <v>2</v>
      </c>
      <c r="O70" s="12">
        <v>5</v>
      </c>
      <c r="P70" s="12">
        <v>3</v>
      </c>
      <c r="Q70" s="12">
        <v>5</v>
      </c>
      <c r="R70" s="12">
        <v>4</v>
      </c>
      <c r="S70" s="12">
        <v>5</v>
      </c>
      <c r="T70" s="12">
        <v>5</v>
      </c>
      <c r="U70" s="12">
        <v>5</v>
      </c>
      <c r="V70" s="12">
        <v>5</v>
      </c>
      <c r="W70" s="12">
        <v>4</v>
      </c>
      <c r="X70" s="12">
        <v>4</v>
      </c>
      <c r="Y70" s="12">
        <v>4</v>
      </c>
      <c r="Z70" s="12">
        <v>3</v>
      </c>
      <c r="AA70" s="12">
        <v>4</v>
      </c>
      <c r="AB70" s="13">
        <f t="shared" si="10"/>
        <v>68</v>
      </c>
      <c r="AC70" s="14"/>
    </row>
    <row r="71" ht="177.4" spans="1:29">
      <c r="A71" s="20"/>
      <c r="B71" s="17" t="s">
        <v>262</v>
      </c>
      <c r="C71" s="11" t="s">
        <v>263</v>
      </c>
      <c r="D71" s="12">
        <v>5</v>
      </c>
      <c r="E71" s="12">
        <v>5</v>
      </c>
      <c r="F71" s="12">
        <v>4</v>
      </c>
      <c r="G71" s="12">
        <v>5</v>
      </c>
      <c r="H71" s="12">
        <v>5</v>
      </c>
      <c r="I71" s="12">
        <v>5</v>
      </c>
      <c r="J71" s="12">
        <v>5</v>
      </c>
      <c r="K71" s="13">
        <f t="shared" si="9"/>
        <v>34</v>
      </c>
      <c r="L71" s="12">
        <v>5</v>
      </c>
      <c r="M71" s="12">
        <v>5</v>
      </c>
      <c r="N71" s="12">
        <v>2</v>
      </c>
      <c r="O71" s="12">
        <v>5</v>
      </c>
      <c r="P71" s="12">
        <v>3</v>
      </c>
      <c r="Q71" s="12">
        <v>5</v>
      </c>
      <c r="R71" s="12">
        <v>4</v>
      </c>
      <c r="S71" s="12">
        <v>5</v>
      </c>
      <c r="T71" s="12">
        <v>5</v>
      </c>
      <c r="U71" s="12">
        <v>5</v>
      </c>
      <c r="V71" s="12">
        <v>5</v>
      </c>
      <c r="W71" s="12">
        <v>4</v>
      </c>
      <c r="X71" s="12">
        <v>4</v>
      </c>
      <c r="Y71" s="12">
        <v>4</v>
      </c>
      <c r="Z71" s="12">
        <v>3</v>
      </c>
      <c r="AA71" s="12">
        <v>4</v>
      </c>
      <c r="AB71" s="13">
        <f t="shared" si="10"/>
        <v>68</v>
      </c>
      <c r="AC71" s="14"/>
    </row>
    <row r="72" ht="135" spans="1:29">
      <c r="A72" s="20"/>
      <c r="B72" s="17" t="s">
        <v>264</v>
      </c>
      <c r="C72" s="11" t="s">
        <v>265</v>
      </c>
      <c r="D72" s="12">
        <v>4</v>
      </c>
      <c r="E72" s="12">
        <v>5</v>
      </c>
      <c r="F72" s="12">
        <v>5</v>
      </c>
      <c r="G72" s="12">
        <v>5</v>
      </c>
      <c r="H72" s="12">
        <v>5</v>
      </c>
      <c r="I72" s="12">
        <v>5</v>
      </c>
      <c r="J72" s="12">
        <v>5</v>
      </c>
      <c r="K72" s="13">
        <f t="shared" si="9"/>
        <v>34</v>
      </c>
      <c r="L72" s="12">
        <v>4</v>
      </c>
      <c r="M72" s="12">
        <v>5</v>
      </c>
      <c r="N72" s="12">
        <v>3</v>
      </c>
      <c r="O72" s="12">
        <v>5</v>
      </c>
      <c r="P72" s="12">
        <v>3</v>
      </c>
      <c r="Q72" s="12">
        <v>5</v>
      </c>
      <c r="R72" s="12">
        <v>4</v>
      </c>
      <c r="S72" s="12">
        <v>3</v>
      </c>
      <c r="T72" s="12">
        <v>5</v>
      </c>
      <c r="U72" s="12">
        <v>5</v>
      </c>
      <c r="V72" s="12">
        <v>5</v>
      </c>
      <c r="W72" s="12">
        <v>4</v>
      </c>
      <c r="X72" s="12">
        <v>2</v>
      </c>
      <c r="Y72" s="12">
        <v>4</v>
      </c>
      <c r="Z72" s="12">
        <v>3</v>
      </c>
      <c r="AA72" s="12">
        <v>4</v>
      </c>
      <c r="AB72" s="13">
        <f t="shared" si="10"/>
        <v>64</v>
      </c>
      <c r="AC72" s="14"/>
    </row>
    <row r="73" ht="148.5" spans="1:29">
      <c r="A73" s="20"/>
      <c r="B73" s="17" t="s">
        <v>266</v>
      </c>
      <c r="C73" s="11" t="s">
        <v>267</v>
      </c>
      <c r="D73" s="12">
        <v>4</v>
      </c>
      <c r="E73" s="12">
        <v>5</v>
      </c>
      <c r="F73" s="12">
        <v>5</v>
      </c>
      <c r="G73" s="12">
        <v>5</v>
      </c>
      <c r="H73" s="12">
        <v>5</v>
      </c>
      <c r="I73" s="12">
        <v>5</v>
      </c>
      <c r="J73" s="12">
        <v>5</v>
      </c>
      <c r="K73" s="13">
        <f t="shared" si="9"/>
        <v>34</v>
      </c>
      <c r="L73" s="12">
        <v>4</v>
      </c>
      <c r="M73" s="12">
        <v>5</v>
      </c>
      <c r="N73" s="12">
        <v>3</v>
      </c>
      <c r="O73" s="12">
        <v>5</v>
      </c>
      <c r="P73" s="12">
        <v>3</v>
      </c>
      <c r="Q73" s="12">
        <v>5</v>
      </c>
      <c r="R73" s="12">
        <v>4</v>
      </c>
      <c r="S73" s="12">
        <v>3</v>
      </c>
      <c r="T73" s="12">
        <v>5</v>
      </c>
      <c r="U73" s="12">
        <v>5</v>
      </c>
      <c r="V73" s="12">
        <v>5</v>
      </c>
      <c r="W73" s="12">
        <v>4</v>
      </c>
      <c r="X73" s="12">
        <v>2</v>
      </c>
      <c r="Y73" s="12">
        <v>4</v>
      </c>
      <c r="Z73" s="12">
        <v>3</v>
      </c>
      <c r="AA73" s="12">
        <v>4</v>
      </c>
      <c r="AB73" s="13">
        <f t="shared" si="10"/>
        <v>64</v>
      </c>
      <c r="AC73" s="14"/>
    </row>
    <row r="74" ht="148.5" spans="1:29">
      <c r="A74" s="20"/>
      <c r="B74" s="17" t="s">
        <v>268</v>
      </c>
      <c r="C74" s="11" t="s">
        <v>269</v>
      </c>
      <c r="D74" s="12">
        <v>4</v>
      </c>
      <c r="E74" s="12">
        <v>5</v>
      </c>
      <c r="F74" s="12">
        <v>5</v>
      </c>
      <c r="G74" s="12">
        <v>5</v>
      </c>
      <c r="H74" s="12">
        <v>5</v>
      </c>
      <c r="I74" s="12">
        <v>5</v>
      </c>
      <c r="J74" s="12">
        <v>5</v>
      </c>
      <c r="K74" s="13">
        <f t="shared" si="9"/>
        <v>34</v>
      </c>
      <c r="L74" s="12">
        <v>4</v>
      </c>
      <c r="M74" s="12">
        <v>5</v>
      </c>
      <c r="N74" s="12">
        <v>3</v>
      </c>
      <c r="O74" s="12">
        <v>5</v>
      </c>
      <c r="P74" s="12">
        <v>3</v>
      </c>
      <c r="Q74" s="12">
        <v>5</v>
      </c>
      <c r="R74" s="12">
        <v>4</v>
      </c>
      <c r="S74" s="12">
        <v>3</v>
      </c>
      <c r="T74" s="12">
        <v>5</v>
      </c>
      <c r="U74" s="12">
        <v>5</v>
      </c>
      <c r="V74" s="12">
        <v>5</v>
      </c>
      <c r="W74" s="12">
        <v>4</v>
      </c>
      <c r="X74" s="12">
        <v>2</v>
      </c>
      <c r="Y74" s="12">
        <v>4</v>
      </c>
      <c r="Z74" s="12">
        <v>3</v>
      </c>
      <c r="AA74" s="12">
        <v>4</v>
      </c>
      <c r="AB74" s="13">
        <f t="shared" si="10"/>
        <v>64</v>
      </c>
      <c r="AC74" s="14"/>
    </row>
    <row r="75" ht="197" customHeight="1" spans="1:29">
      <c r="A75" s="15"/>
      <c r="B75" s="10" t="s">
        <v>316</v>
      </c>
      <c r="C75" s="11" t="s">
        <v>317</v>
      </c>
      <c r="D75" s="12">
        <v>5</v>
      </c>
      <c r="E75" s="12">
        <v>5</v>
      </c>
      <c r="F75" s="12">
        <v>5</v>
      </c>
      <c r="G75" s="12">
        <v>5</v>
      </c>
      <c r="H75" s="12">
        <v>5</v>
      </c>
      <c r="I75" s="12">
        <v>5</v>
      </c>
      <c r="J75" s="12">
        <v>5</v>
      </c>
      <c r="K75" s="13">
        <f t="shared" si="9"/>
        <v>35</v>
      </c>
      <c r="L75" s="12">
        <v>4</v>
      </c>
      <c r="M75" s="12">
        <v>4</v>
      </c>
      <c r="N75" s="12">
        <v>3</v>
      </c>
      <c r="O75" s="12">
        <v>5</v>
      </c>
      <c r="P75" s="12">
        <v>2</v>
      </c>
      <c r="Q75" s="12">
        <v>4</v>
      </c>
      <c r="R75" s="12">
        <v>4</v>
      </c>
      <c r="S75" s="12">
        <v>5</v>
      </c>
      <c r="T75" s="12">
        <v>5</v>
      </c>
      <c r="U75" s="12">
        <v>5</v>
      </c>
      <c r="V75" s="12">
        <v>5</v>
      </c>
      <c r="W75" s="12">
        <v>3</v>
      </c>
      <c r="X75" s="12">
        <v>3</v>
      </c>
      <c r="Y75" s="12">
        <v>4</v>
      </c>
      <c r="Z75" s="12">
        <v>3</v>
      </c>
      <c r="AA75" s="12">
        <v>3</v>
      </c>
      <c r="AB75" s="13">
        <f t="shared" si="10"/>
        <v>62</v>
      </c>
      <c r="AC75" s="14"/>
    </row>
    <row r="76" ht="195" customHeight="1" spans="1:29">
      <c r="A76" s="15"/>
      <c r="B76" s="10" t="s">
        <v>318</v>
      </c>
      <c r="C76" s="11" t="s">
        <v>319</v>
      </c>
      <c r="D76" s="12">
        <v>5</v>
      </c>
      <c r="E76" s="12">
        <v>5</v>
      </c>
      <c r="F76" s="12">
        <v>5</v>
      </c>
      <c r="G76" s="12">
        <v>5</v>
      </c>
      <c r="H76" s="12">
        <v>5</v>
      </c>
      <c r="I76" s="12">
        <v>5</v>
      </c>
      <c r="J76" s="12">
        <v>5</v>
      </c>
      <c r="K76" s="13">
        <f t="shared" si="9"/>
        <v>35</v>
      </c>
      <c r="L76" s="12">
        <v>4</v>
      </c>
      <c r="M76" s="12">
        <v>4</v>
      </c>
      <c r="N76" s="12">
        <v>3</v>
      </c>
      <c r="O76" s="12">
        <v>5</v>
      </c>
      <c r="P76" s="12">
        <v>2</v>
      </c>
      <c r="Q76" s="12">
        <v>4</v>
      </c>
      <c r="R76" s="12">
        <v>4</v>
      </c>
      <c r="S76" s="12">
        <v>5</v>
      </c>
      <c r="T76" s="12">
        <v>5</v>
      </c>
      <c r="U76" s="12">
        <v>5</v>
      </c>
      <c r="V76" s="12">
        <v>5</v>
      </c>
      <c r="W76" s="12">
        <v>3</v>
      </c>
      <c r="X76" s="12">
        <v>3</v>
      </c>
      <c r="Y76" s="12">
        <v>4</v>
      </c>
      <c r="Z76" s="12">
        <v>3</v>
      </c>
      <c r="AA76" s="12">
        <v>3</v>
      </c>
      <c r="AB76" s="13">
        <f t="shared" si="10"/>
        <v>62</v>
      </c>
      <c r="AC76" s="14"/>
    </row>
    <row r="77" ht="181" customHeight="1" spans="1:29">
      <c r="A77" s="21"/>
      <c r="B77" s="10" t="s">
        <v>320</v>
      </c>
      <c r="C77" s="11" t="s">
        <v>321</v>
      </c>
      <c r="D77" s="12">
        <v>5</v>
      </c>
      <c r="E77" s="12">
        <v>5</v>
      </c>
      <c r="F77" s="12">
        <v>5</v>
      </c>
      <c r="G77" s="12">
        <v>5</v>
      </c>
      <c r="H77" s="12">
        <v>5</v>
      </c>
      <c r="I77" s="12">
        <v>5</v>
      </c>
      <c r="J77" s="12">
        <v>5</v>
      </c>
      <c r="K77" s="13">
        <f t="shared" si="9"/>
        <v>35</v>
      </c>
      <c r="L77" s="12">
        <v>4</v>
      </c>
      <c r="M77" s="12">
        <v>4</v>
      </c>
      <c r="N77" s="12">
        <v>3</v>
      </c>
      <c r="O77" s="12">
        <v>5</v>
      </c>
      <c r="P77" s="12">
        <v>2</v>
      </c>
      <c r="Q77" s="12">
        <v>5</v>
      </c>
      <c r="R77" s="12">
        <v>4</v>
      </c>
      <c r="S77" s="12">
        <v>5</v>
      </c>
      <c r="T77" s="12">
        <v>5</v>
      </c>
      <c r="U77" s="12">
        <v>5</v>
      </c>
      <c r="V77" s="12">
        <v>5</v>
      </c>
      <c r="W77" s="12">
        <v>3</v>
      </c>
      <c r="X77" s="12">
        <v>3</v>
      </c>
      <c r="Y77" s="12">
        <v>4</v>
      </c>
      <c r="Z77" s="12">
        <v>3</v>
      </c>
      <c r="AA77" s="12">
        <v>3</v>
      </c>
      <c r="AB77" s="13">
        <f t="shared" si="10"/>
        <v>63</v>
      </c>
      <c r="AC77" s="14"/>
    </row>
    <row r="78" ht="162" spans="1:29">
      <c r="A78" s="21"/>
      <c r="B78" s="10" t="s">
        <v>322</v>
      </c>
      <c r="C78" s="11" t="s">
        <v>323</v>
      </c>
      <c r="D78" s="12">
        <v>5</v>
      </c>
      <c r="E78" s="12">
        <v>5</v>
      </c>
      <c r="F78" s="12">
        <v>5</v>
      </c>
      <c r="G78" s="12">
        <v>5</v>
      </c>
      <c r="H78" s="12">
        <v>5</v>
      </c>
      <c r="I78" s="12">
        <v>5</v>
      </c>
      <c r="J78" s="12">
        <v>5</v>
      </c>
      <c r="K78" s="13">
        <f t="shared" si="9"/>
        <v>35</v>
      </c>
      <c r="L78" s="12">
        <v>4</v>
      </c>
      <c r="M78" s="12">
        <v>4</v>
      </c>
      <c r="N78" s="12">
        <v>3</v>
      </c>
      <c r="O78" s="12">
        <v>5</v>
      </c>
      <c r="P78" s="12">
        <v>2</v>
      </c>
      <c r="Q78" s="12">
        <v>5</v>
      </c>
      <c r="R78" s="12">
        <v>4</v>
      </c>
      <c r="S78" s="12">
        <v>5</v>
      </c>
      <c r="T78" s="12">
        <v>5</v>
      </c>
      <c r="U78" s="12">
        <v>5</v>
      </c>
      <c r="V78" s="12">
        <v>5</v>
      </c>
      <c r="W78" s="12">
        <v>3</v>
      </c>
      <c r="X78" s="12">
        <v>3</v>
      </c>
      <c r="Y78" s="12">
        <v>4</v>
      </c>
      <c r="Z78" s="12">
        <v>3</v>
      </c>
      <c r="AA78" s="12">
        <v>3</v>
      </c>
      <c r="AB78" s="13">
        <f t="shared" si="10"/>
        <v>63</v>
      </c>
      <c r="AC78" s="14"/>
    </row>
    <row r="79" spans="1:29">
      <c r="D79">
        <f>AVERAGE(D61:D78)</f>
        <v>4.83333333333333</v>
      </c>
      <c r="E79">
        <f t="shared" ref="E79:AB79" si="11">AVERAGE(E61:E78)</f>
        <v>5</v>
      </c>
      <c r="F79">
        <f t="shared" si="11"/>
        <v>4.66666666666667</v>
      </c>
      <c r="G79">
        <f t="shared" si="11"/>
        <v>5</v>
      </c>
      <c r="H79">
        <f t="shared" si="11"/>
        <v>5</v>
      </c>
      <c r="I79">
        <f t="shared" si="11"/>
        <v>5</v>
      </c>
      <c r="J79">
        <f t="shared" si="11"/>
        <v>4.88888888888889</v>
      </c>
      <c r="K79">
        <f t="shared" si="11"/>
        <v>34.3888888888889</v>
      </c>
      <c r="L79">
        <f t="shared" si="11"/>
        <v>4.61111111111111</v>
      </c>
      <c r="M79">
        <f t="shared" si="11"/>
        <v>4.77777777777778</v>
      </c>
      <c r="N79">
        <f t="shared" si="11"/>
        <v>2.61111111111111</v>
      </c>
      <c r="O79">
        <f t="shared" si="11"/>
        <v>4.88888888888889</v>
      </c>
      <c r="P79">
        <f t="shared" si="11"/>
        <v>2.77777777777778</v>
      </c>
      <c r="Q79">
        <f t="shared" si="11"/>
        <v>4.88888888888889</v>
      </c>
      <c r="R79">
        <f t="shared" si="11"/>
        <v>4</v>
      </c>
      <c r="S79">
        <f t="shared" si="11"/>
        <v>4.66666666666667</v>
      </c>
      <c r="T79">
        <f t="shared" si="11"/>
        <v>5</v>
      </c>
      <c r="U79">
        <f t="shared" si="11"/>
        <v>5</v>
      </c>
      <c r="V79">
        <f t="shared" si="11"/>
        <v>5</v>
      </c>
      <c r="W79">
        <f t="shared" si="11"/>
        <v>3.77777777777778</v>
      </c>
      <c r="X79">
        <f t="shared" si="11"/>
        <v>2.83333333333333</v>
      </c>
      <c r="Y79">
        <f t="shared" si="11"/>
        <v>4</v>
      </c>
      <c r="Z79">
        <f t="shared" si="11"/>
        <v>3</v>
      </c>
      <c r="AA79">
        <f t="shared" si="11"/>
        <v>3.77777777777778</v>
      </c>
      <c r="AB79">
        <f t="shared" si="11"/>
        <v>65.6111111111111</v>
      </c>
    </row>
  </sheetData>
  <mergeCells count="7">
    <mergeCell ref="A1:AB1"/>
    <mergeCell ref="A3:A9"/>
    <mergeCell ref="A10:A12"/>
    <mergeCell ref="A15:A31"/>
    <mergeCell ref="A34:A51"/>
    <mergeCell ref="A52:A58"/>
    <mergeCell ref="A61:A7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P</vt:lpstr>
      <vt:lpstr>P被筛</vt:lpstr>
      <vt:lpstr>M</vt:lpstr>
      <vt:lpstr>M被筛</vt:lpstr>
      <vt:lpstr>图灵测试</vt:lpstr>
      <vt:lpstr>P分题型</vt:lpstr>
      <vt:lpstr>M汇总分题型</vt:lpstr>
      <vt:lpstr>P布鲁姆分类</vt:lpstr>
      <vt:lpstr>M汇总布鲁姆分类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2026-06-06T11:04:45Z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