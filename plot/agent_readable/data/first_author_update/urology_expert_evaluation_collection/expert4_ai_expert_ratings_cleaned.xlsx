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bookViews>
  <sheets>
    <sheet name="P" sheetId="1" r:id="rId1"/>
    <sheet name="M" sheetId="4" r:id="rId2"/>
    <sheet name="M被筛" sheetId="5" r:id="rId3"/>
    <sheet name="图灵测试" sheetId="6" r:id="rId4"/>
    <sheet name="P分题型" sheetId="7" r:id="rId5"/>
    <sheet name="M汇总分题型" sheetId="8" r:id="rId6"/>
    <sheet name="P布鲁姆分类" sheetId="9" r:id="rId7"/>
    <sheet name="M汇总布鲁姆分类"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<sst xmlns="http://schemas.openxmlformats.org/spreadsheetml/2006/main" count="1010" uniqueCount="295">
  <si>
    <t>P卷</t>
  </si>
  <si>
    <t>题型</t>
  </si>
  <si>
    <t>题目内容</t>
  </si>
  <si>
    <t>答案解析</t>
  </si>
  <si>
    <t>流畅性</t>
  </si>
  <si>
    <t>清晰度</t>
  </si>
  <si>
    <t>简洁性</t>
  </si>
  <si>
    <t>相关性</t>
  </si>
  <si>
    <t>一致性</t>
  </si>
  <si>
    <t>可回答性</t>
  </si>
  <si>
    <t>答案一致性</t>
  </si>
  <si>
    <t>QG总分</t>
  </si>
  <si>
    <t>排他性</t>
  </si>
  <si>
    <t>明确性</t>
  </si>
  <si>
    <t>目标性</t>
  </si>
  <si>
    <t>综合性</t>
  </si>
  <si>
    <t>侧重性</t>
  </si>
  <si>
    <t>防猜性</t>
  </si>
  <si>
    <t>完整性</t>
  </si>
  <si>
    <t>正确性</t>
  </si>
  <si>
    <t>可解性</t>
  </si>
  <si>
    <t>绝对性</t>
  </si>
  <si>
    <t>迷惑性</t>
  </si>
  <si>
    <t>思维性</t>
  </si>
  <si>
    <t>反馈性</t>
  </si>
  <si>
    <t>公平性</t>
  </si>
  <si>
    <t>答案解析评分</t>
  </si>
  <si>
    <t>LLM总分</t>
  </si>
  <si>
    <t>3、前列腺增生症最早出现的症状往往是:（A）【单选题】
A. 尿频
B. 排尿困难
C. 血尿
D. 尿痛
E. 尿急</t>
  </si>
  <si>
    <t>考点还原：泌尿系统梗阻 - 前列腺增生
参考答案：A。
答案解析：前列腺增生症最早出现的症状通常是尿频，尤其是夜尿增多。这是由于前列腺增生刺激膀胱三角区或导致膀胱顺应性降低、残余尿增多所致。排尿困难是梗阻的典型症状，但出现相对较晚。</t>
  </si>
  <si>
    <t xml:space="preserve">4、不能行前列腺按摩取前列腺液检查的是（C）。【单选题】   
A. 前列腺癌  
B. 前列腺结核  
C. 急性前列腺炎  
D. 前列腺增生  
E. 慢性细菌性前列腺炎 </t>
  </si>
  <si>
    <t>考点还原：泌尿、男生殖系统感染 - 前列腺炎
参考答案：C。
答案解析：急性前列腺炎是前列腺按摩的绝对禁忌证，因为按摩可能导致感染扩散、菌血症或脓毒症。其他选项如前列腺癌、前列腺增生和慢性前列腺炎在谨慎操作下可进行按摩。选项B空白，无法评价。</t>
  </si>
  <si>
    <t xml:space="preserve">5、判断前列腺大小较准确的检查方法是（B）。 【单选题】 
A. 残余尿测定  
B.  B超  
C. 膀胱造影  
D. 直肠指诊  
E  膀胱镜检查  </t>
  </si>
  <si>
    <t>考点还原：泌尿系统疾病的诊断 - 影像学检查。
参考答案：B。
答案解析：B超（尤其是经直肠超声）是评估前列腺大小最准确、无创的方法，可以精确测量前列腺的三维尺寸并计算体积。直肠指诊虽常用但主观性强，残余尿测定和膀胱造影不直接评估前列腺大小。</t>
  </si>
  <si>
    <t xml:space="preserve">14. 下列为前列腺增生患者储尿期症状的是？（A）【单选题】
A. 夜尿增多
B. 尿无力
C. 尿线变细
D. 尿不尽感
E. 尿等待  </t>
  </si>
  <si>
    <t>考点还原：泌尿系统梗阻 - 前列腺增生
参考答案：A。
答案解析：前列腺增生的症状分为储尿期（刺激）症状和排尿期（梗阻）症状。储尿期症状包括尿频、尿急、夜尿增多等。选项B、C、D、E均属于排尿期症状。</t>
  </si>
  <si>
    <t>15. 内分泌治疗可用于治疗哪种肿瘤？（C）【单选题】
A. 膀胱癌
B. 肾上腺皮质癌
C. 前列腺癌
D. 睾丸癌
E. 肾癌</t>
  </si>
  <si>
    <t>考点还原：泌尿系统肿瘤 - 治疗原则。
参考答案：C。
答案解析：前列腺癌是雄激素依赖性疾病，内分泌治疗（去势治疗、抗雄激素治疗）是其晚期和转移性癌的主要治疗手段之一。其他选项的肿瘤一般不以内分泌治疗为首选。</t>
  </si>
  <si>
    <t>16.泌尿系感染首选哪种抗生素?（A）【单选题】
A. 喹诺酮类
B. 大环内酯类
C. 磺胺类
D. β-内酰胺类
E. 氨基糖苷类</t>
  </si>
  <si>
    <t>考点还原：泌尿、男生殖系统感染。
参考答案：A。
答案解析：喹诺酮类抗生素（如左氧氟沙星）在尿液中浓度高，对常见尿路感染病原菌（如大肠埃希菌）敏感，是治疗单纯性泌尿系感染的首选药物之一。需注意耐药性问题。</t>
  </si>
  <si>
    <t>17.膀胱结石典型的临床表现是（E）【单选题】
A. 膀胱刺激征
B. 进行性排尿困难
C. 血尿
D. 腰痛，血尿，脓尿
E. 尿流中断，改变体位后好转</t>
  </si>
  <si>
    <t>考点还原：泌尿系统结石。
参考答案：E。
答案解析：膀胱结石最典型的症状是排尿过程中结石堵住膀胱出口，导致尿流突然中断，改变体位后结石移动，尿液又可排出。</t>
  </si>
  <si>
    <t>A2</t>
  </si>
  <si>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</si>
  <si>
    <t>正确答案： D
答案解析：
    老年男性，有两次前列腺手术史，此次出现急性排尿困难，药物治疗无效。膀胱镜提示“多发赘生物”及前列腺增生，需警惕并发膀胱肿瘤或前列腺癌可能。但患者高龄、有手术史，直接行TURP风险高，且赘生物性质不明。最稳妥的方案是先通过膀胱造瘘解除急性梗阻、保护肾功能，同时为后续检查（如赘生物活检）和治疗（如根据病理决定行TURP或更彻底手术）创造条件。选项A、B、C仍试图药物治疗或直接TURP，对于此复杂病例不够安全。选项E的根治性手术指征不足。
大纲归类： 泌尿系统梗阻 - 前列腺增生的并发症与处理</t>
  </si>
  <si>
    <t>2.患者男，68岁。因“体重进行性下降、排尿困难半年余"入院。外院查PSA 11.42ng/ml，无肉眼血尿，无腰背酸胀等不适。既往无殊。对于该患者最有可能的疾病，最常见的远处转移部位是:（D）【单选题】
A. 肺
B. 肝
C. 膀胱
D. 骨骼
E. 肾上腺</t>
  </si>
  <si>
    <t>正确答案： D
答案解析：
老年男性，排尿困难，PSA显著升高（&gt;10ng/ml），高度怀疑前列腺癌。前列腺癌最常见的血行转移部位是骨骼（尤其是中轴骨），其次为肺和肝。
大纲归类： 泌尿系统肿瘤 - 前列腺癌</t>
  </si>
  <si>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</si>
  <si>
    <t>考点还原：泌尿系统梗阻 - 前列腺增生的治疗。
参考答案：D。
答案解析：患者有典型排尿困难，药物治疗无效，残余尿&gt;50ml，有明确的手术指征。经尿道前列腺电切术（TURP）是目前治疗BPH的“金标准”微创手术，应作为首选。</t>
  </si>
  <si>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</si>
  <si>
    <t>考点还原：泌尿系统肿瘤 - 膀胱肿瘤。
参考答案：C。
答案解析：中年男性出现无痛性肉眼血尿，B超发现膀胱占位，首先怀疑膀胱肿瘤。膀胱镜检查是确诊的金标准，可以直接观察肿瘤的形态、大小、位置和数量，并能取活检进行病理诊断。</t>
  </si>
  <si>
    <t>17.男性，36岁，突发右腰部绞痛伴肉眼血尿半天，右腰部轻度压痛和叩击痛，无肌紧张，应考虑（D）【单选题】
A. 肾肿瘤
B. 肾结核
C. 急性肾盂肾炎
D. 肾输尿管结石
E. 肾积水</t>
  </si>
  <si>
    <t>考点还原：泌尿系统结石。
参考答案：D。
答案解析：青年男性，突发腰部绞痛伴血尿，是上尿路（肾或输尿管）结石的典型表现。肾积水是结石的继发改变，而非病因诊断。</t>
  </si>
  <si>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</si>
  <si>
    <t>考点还原：泌尿系统肿瘤 - 膀胱肿瘤。
参考答案：B。
答案解析：无痛性间歇性肉眼血尿是尿路上皮肿瘤的典型表现。尿脱落细胞学检查是无创、简便的初步筛查方法，可检测尿中脱落的肿瘤细胞，适用于高危人群筛查。尿红细胞位相检查用于鉴别肾小球性血尿，尿结核杆菌和细菌学检查用于感染性疾病。尿三杯试验用于明确血尿来源。</t>
  </si>
  <si>
    <t>27. 患者女，30岁，2年前出现咳嗽打喷嚏时小便溢出，每次数滴，无法控制，行走、静息状态或日常生活中无明显溢尿。考虑什么诊断？（D）【单选题】
A. 真性尿失禁
B. 充溢性尿失禁
C. 急迫性尿失禁
D. 压力性尿失禁
E. 神经源性尿失禁</t>
  </si>
  <si>
    <t>考点还原：排尿功能障碍 - 尿失禁。
参考答案：D。
答案解析：患者在腹压增高（咳嗽、打喷嚏）时出现不自主漏尿，是压力性尿失禁的典型表现，多见于经产妇，与盆底肌肉松弛有关。</t>
  </si>
  <si>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</si>
  <si>
    <t>考点还原：泌尿系统梗阻 - 前列腺增生的治疗。
参考答案：E。
答案解析：患者为严重BPH导致慢性尿潴留、大量残余尿，并已引起双肾积水和肾功能不全（血肌酐升高）。此时首要任务是解除梗阻、引流尿液、保护肾功能。立即行TURP风险高。最合适的方案是先行留置导尿（或膀胱造瘘），待肾功能稳定或改善后，再评估行择期手术。</t>
  </si>
  <si>
    <t xml:space="preserve">29. 患者男，56岁，间歇性全程无痛肉眼血尿2月余。静脉尿路造影可见右肾盂充盈缺损。首先考虑的疾病是:（B）【单选题】
A. 肾癌
B. 肾盂癌
C. 肾结核
D. 肾结石
E. 肾盂肾炎 </t>
  </si>
  <si>
    <t>考点还原：泌尿系统肿瘤 - 肾盂癌。
参考答案：B。
答案解析：间歇性无痛肉眼血尿是尿路上皮肿瘤的典型症状。静脉尿路造影显示肾盂内“充盈缺损”，是肾盂癌的特征性影像学表现。肾癌通常表现为肾实质占位，而非肾盂充盈缺损。</t>
  </si>
  <si>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</si>
  <si>
    <t>考点还原：泌尿系统结石 - 并发症处理。
参考答案：D。
答案解析：患者为输尿管上段结石（1.5cm较大），继发严重肾积水和急性感染（高热、血象高、脓尿），且抗感染治疗效果不佳，考虑为梗阻性脓肾。此为泌尿外科急症，首要原则是解除梗阻、引流感染，而非立即碎石。经皮肾造瘘术（PCN）能迅速降低肾盂压力，引流脓液，控制感染，是此时的首选治疗。待感染控制后再处理结石。</t>
  </si>
  <si>
    <t>31. 患者男,55岁,反复右侧腰背部绞痛, KUB示右肾结石,长径3.2cm,首选治疗为？（A）【单选题】
A. 经皮肾镜碎石取石
B. 经输尿管镜碎石取石
C. 体外冲击波碎石
D. 药物排石
E. 补液抗炎抗休克等对症治疗</t>
  </si>
  <si>
    <t>考点还原：泌尿系统结石 - 治疗选择。
参考答案：A。
答案解析：对于直径&gt;2cm的肾结石，体外冲击波碎石（ESWL）效果差且易形成“石街”。经皮肾镜取石术（PCNL）是治疗&gt;2cm肾结石的首选标准方法。输尿管镜碎石（URL）主要用于输尿管中下段结石。</t>
  </si>
  <si>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</si>
  <si>
    <t>考点还原：肾上腺疾病。
参考答案：C。
答案解析：患者有高血压、低血钾，肾上腺发现小肿瘤，血浆醛固酮水平显著升高而肾素活性受抑制，这是原发性醛固酮增多症（原醛症）的典型表现。最常见的病因是醛固酮腺瘤。</t>
  </si>
  <si>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</si>
  <si>
    <t>考点还原：阴囊内容物疾病。
参考答案：C。
答案解析：透光试验阳性可排除疝（内容物为肠管）和实质性肿瘤。平卧时缩小，站立时增大，是交通性鞘膜积液的特点，因其鞘状突未完全闭合，腹腔液体可流入鞘膜腔。睾丸鞘膜积液大小不随体位改变。</t>
  </si>
  <si>
    <t>34.患者68岁男性，发现血尿2周，检查泌尿系彩超提示右肾3*2*2cm实质性肿块，为进一步明确诊断，暂不考虑的检查是（E）。【单选题】
A. 腹部X线平片  
B. IVU  
C. 肾动脉造影  
D. CT  
E. 红细胞相差显微镜检查</t>
  </si>
  <si>
    <t>考点还原：泌尿系统肿瘤 - 肾肿瘤。
参考答案：E。
答案解析：肾实质性肿块需优先进行影像学检查以明确性质（如CT用于分期），腹部X线平片、IVU和肾动脉造影也有辅助价值。红细胞相差显微镜检查用于鉴别血尿来源（肾小球性或非肾小球性），对肿块诊断无直接帮助，故暂不考虑。</t>
  </si>
  <si>
    <t>35. 女，63岁，主诉双下肢水肿6个月，影像学检查结果提示双肾缩小。对于该患者的治疗，下列哪项措施错误（B）。【单选题】
A.控制摄入蛋白质
B.行双肾部分切除术
C.控制摄入糖
D.使用呋塞米药物
E.使用糖皮质激素药物</t>
  </si>
  <si>
    <t>考点还原：泌尿系统(含男性生殖系统)-肾功能不全-慢性肾脏病的治疗。
参考答案：B。
答案解析：患者老年女性，双下肢水肿，检查示双肾缩小（典型超声表现），考虑诊断为慢性肾衰竭。双肾部分切除适用于双肾肿瘤，且肿瘤较小或位于一级，该患者无指征（B错，为本题正确答案）。控制摄入蛋白质和糖可延缓病程进展（AC对）。呋塞米是利尿剂，可缓解水肿（D对）。各种肾炎导致的慢性肾衰竭使用糖皮质激素可治疗原发病（E对）</t>
  </si>
  <si>
    <t>36. 患者，女，33岁。主诉左腰部受伤后出现腰痛。体检：血压119/88mmHg，P82次/分，左肾区叩痛，腹膜刺激征（-）；尿常规检查：RBC5～10个/HP。该患者最可能的诊断是（D）。【单选题】
A.肾部分裂伤
B.肾全层裂伤
C.肾蒂损伤
D.肾挫伤
E.自发性肾破裂</t>
  </si>
  <si>
    <t>考点还原：泌尿系统（含男性生殖系统）-泌尿系统外伤-肾外伤的诊断。
参考答案：D。
答案解析：青年女性患者，左腰部受伤后出现腰痛（提示可能有肾脏损伤），血压119/88mmHg（正常值90～140/60～90mmHg），P82次/分（正常值60～100次/分），腹膜刺激征（-）（提示患者损伤较轻），左肾区叩痛，尿常规检查：RBC5～10个/HP（高于正常值0～3个/HP，提示肾损伤），结合患者病史、临床表现和相关检查，该患者最可能的诊断为左肾挫伤（D对）。肾部分裂伤（A错）和肾全层裂伤（B错）损伤较严重，会出现明显血尿、腰腹部可触及肿块，还可因尿液外渗而致腹膜刺激症阳性。因肾蒂包含肾动静脉、输尿管等重要结构，肾蒂损伤可迅速出现血尿、休克等表现，病情危急（C错）。自发性肾破裂是指在无创伤情况下发生的肾实质、肾盂或肾血管破裂，多在病理性肾的基础上发生，主要表现为疼痛、腹部包块和血尿（E错）。</t>
  </si>
  <si>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</si>
  <si>
    <t>考点还原：泌尿系统（含男性生殖系统）-尿路结石-输尿管结石的治疗。
参考答案：D。
答案解析：患者男性，42岁，突发双侧腰腹部疼痛1天(肾绞痛典型表现)，既往有肾结石病史(结石形成倾向)。查体：双侧肾叩击痛(肾脏受累体征)，右下腹压痛(右侧输尿管下段结石牵涉痛区域)。肌酐262μmol/L(提示急性肾损伤)。CT：右侧输尿管下段1.2cm结石(适合输尿管镜处理的大小范围)，右侧输尿管上端扩张(提示梗阻证据)，左肾直径1.5cm结石(无肾积水，非紧急处理)。根据患者的病史、临床表现和检查，右侧输尿管结石梗阻导致急性肾损伤，需紧急解除梗阻，首选的治疗措施为经输尿管镜取石(D对)。经输尿管镜取石是治疗输尿管下段结石的首选方法，尤其对于1～2cm结石，微创且成功率高。左侧经皮肾镜碎石术适用于肾内较大结石(A错)。双侧经皮肾造瘘取石术适用于双侧尿路梗阻或感染(B错)。右侧输尿管切开取石术为开放手术，创伤大(C错)。血液透析治疗用于肾功能衰竭支持(E错)。</t>
  </si>
  <si>
    <t xml:space="preserve">38.男，28岁，不孕4年，查体：左侧阴囊下垂，左侧睾丸较右侧小，平静状态下可以摸到，另见精索静脉曲张呈海蛇团状，功能检查示弱小无精症，该患者精索静脉曲张分度为 （C）。【单选题】
A.一度 
B.二度 
C.三度 
D.四度 
E.亚临床 </t>
  </si>
  <si>
    <t>考点还原：泌尿系统（含男性生殖系统）-泌尿、男性生殖系统先天性畸形及其他疾病-精索静脉曲张的概述。
参考答案：C。
答案解析：患者精索静脉曲张成海蛇团状，平静状态下可触及，符合Ⅲ度精索静脉曲张(C对)，精索静脉曲张一度触诊不明显，但Valsalva试验可触及曲张静脉(A错)，精索静脉曲张二度外观无明显异常，触诊可及曲张的静脉(B错)，精索静脉曲张无四度分度(D错)，精索静脉曲张亚临床型在休息或行Valsalva动作时，无症状或者无法看见静脉曲张，但可以通过超声检查发现(E错)。</t>
  </si>
  <si>
    <t>A3,4/B</t>
  </si>
  <si>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</si>
  <si>
    <t>考点还原：泌尿系统（含男性生殖系统）-泌尿、男性生殖系统先天性畸形及其他疾病-鞘膜积液的诊断与鉴别诊断。
参考答案：A。
答案解析：患者老年男性，进行性右侧睾丸肿大3年(慢性病程)，无疼痛，行走不便，查体睾丸6c m×5cm×4cm，无压痛，右侧睾丸及附睾未触及，透光试验阳性(睾丸鞘膜积液的典型表现)，平卧后不变。综合症状、体征和检查结果，考虑睾丸鞘膜积液的诊断。睾丸鞘膜积液是指鞘膜囊内积液增多，形成囊性肿物，常表现为阴囊无痛性肿大，透光试验阳性，睾丸和附睾不易触及，平卧后肿物不缩小（A对）。精索鞘膜积液的积液位于精索、腹股沟管内，肿物较小，睾丸和附睾可触及，牵拉睾丸时囊肿随之移动（B错）。睾丸肿瘤多表现为睾丸实性肿块，质地坚硬，睾丸沉重感明显，透光试验阴性，常伴有AFP、β-HCG等肿瘤标志物升高（C错）。腹股沟斜疝表现为阴囊或腹股沟区肿块，平卧后可回纳，咳嗽时内环处有冲击感，透光试验阴性，可触及睾丸（D错）。交通性鞘膜积液的特点是立位时阴囊肿大，卧位时积液流入腹腔，鞘膜囊缩小或消失，睾丸可触及（E错）。</t>
  </si>
  <si>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</si>
  <si>
    <t>考点还原：泌尿系统（含男性生殖系统）-泌尿、男性生殖系统先天性畸形及其他疾病-鞘膜积液的诊断与鉴别诊断。
参考答案：D。
答案解析：“65岁男性，进行性右侧睾丸肿大3年，无疼痛，行走不便。查体：睾丸6cm×5cm×4cm”提示患者已经属于成年男性而且睾丸鞘膜积液量较多，需进行手术治疗，而睾丸鞘膜积液的常规手术治疗即为鞘膜睾丸翻转术(D对, ABCE错)。</t>
  </si>
  <si>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</si>
  <si>
    <t>考点还原：泌尿系统(含男性生殖系统)-泌尿、男性生殖系统肿瘤-肾肿瘤-肾血管平滑肌脂肪瘤的临床表现。
参考答案：E。
答案解析：肾错构瘤好发于30～60岁女性，外力作用后容易破裂，表现为腰腹痛、血尿，符合该患者表现(E对)。肾囊肿好发于50岁以上男性，多无临床表现(A错)。多囊肾表现为肾肿大、肾区疼痛、血尿和肾功能不全等(B错)。肾癌主要表现为肉眼血尿、腰痛和腹部肿块(C错)。不同病因引起的肾积水，临床表现也不同：①上尿路急性梗阻时，常常出现肾绞痛、恶心、呕吐、血尿及肾区压痛等；②下尿路梗阻时，主要表现为排尿困难和膀胱排空困难(D错)。</t>
  </si>
  <si>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</si>
  <si>
    <t>考点还原：泌尿系统(含男性生殖系统)-泌尿、男性生殖系统肿瘤-肾肿瘤-肾血管平滑肌脂肪瘤的临床表现。
参考答案：C。
答案解析：女性患者，今早小便后用纸擦拭后见大量血。(血尿)。诉就诊前一天腰部受过用力按摩，之后感觉腰部疼痛(腰部外伤史)。检查：尿RBC+++/HP(血尿)。B超提示：肾增大，肾破裂T诊断一致，所以考虑诊断为肾破裂。尿路造影多用于尿路损伤的检查(A错)。穿刺活检多为肾脏占位性病变、肾实质病变的明确诊断(B错)。肾动脉造影已不作为临床上肾损伤的首选(D错)。KUB主要用于尿石症的检查(E错)。MRI可以明确肾损伤的诊断，对血肿的显示比CT更具特征性，所以最佳答案为MRI(C对)。</t>
  </si>
  <si>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</si>
  <si>
    <t>考点还原：泌尿系统(含男性生殖系统)-泌尿、男性生殖系统肿瘤-肾肿瘤-肾血管平滑肌脂肪瘤的临床表现。
参考答案：D。
答案解析：49岁女性患者(肾错构瘤高发人群)，1天前腰部受外力后疼痛，晨起血尿就诊(外力导致肿瘤破裂出血)，检查血常规正常，尿红细胞+++/HP(血尿)，影像学提示肾脏增大，肾脏破裂，根据患者的发病诱因、临床表现、实验室检查和影像学检查结果，最可能的诊断是肾错构瘤(肾血管平滑肌脂肪瘤)。根据患者的临床表现，首选的治疗措施是介入治疗，即行肾动脉栓塞止血(D对错)。对错构瘤行肾切除术必须慎重，需尽可能保留肾功能，手术指征为：全肾侵犯；肿瘤生长快，可疑恶性；不能控制的危及生命的出血，本例可暂不行肾切除手术(BC错)。血肿去除手术不作为肾错构瘤的常规治疗(A错)。</t>
  </si>
  <si>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</si>
  <si>
    <t>考点还原：泌尿系统(含男性生殖系统)-泌尿系统外伤-肾外伤的诊断。
参考答案：B。
答案解析：青年女性患者，右腰部受伤，出现局部疼痛和肉眼血尿（肾脏损伤的表现），应考虑右肾损伤。患者受伤当日生命体征平稳，但5日后下床活动，右腰部疼痛加剧并出现腰部包块，血压下降，脉率/收缩压=125/78，提示有休克，考虑有肾脏内大量出血，故腰部包块最可能是大量出血所致血肿，为了解其来源明确诊断，应采用的检查是B超，超声对液体显示效果最佳，表现为液性暗区（B对）。同位素肾图主要用于测定肾小管分泌功能和显示上尿路有无梗阻（A错）。KUB即尿路平片，可用于判断泌尿系结石的来源，对肾损伤的诊断意义不大（C错）。血常规（D错）和尿常规（E错）可用于提示肾脏有无活动性出血，但对包块来源诊断价值不大。</t>
  </si>
  <si>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</si>
  <si>
    <t>考点还原：泌尿系统(含男性生殖系统)-泌尿系统外伤-肾外伤的诊断。
参考答案：A。
答案解析：青年女性患者，右腰部受伤后，出现局部疼痛和肉眼血尿（肾脏损伤的表现），应考虑右肾损伤。由于患者当时生命体征平稳，腹软，故最可能的诊断为肾部分裂伤（肾挫伤血尿不明显；肾全层裂伤出血多，常伴休克；肾蒂血管损伤常死于现场）。肾部分裂伤患者需绝对卧床休息2~4周，过早离床活动，有可能再度出血。患者5日后下床活动，右腰部疼痛加剧并出现腰部包块，P125次/分P78/42mmHg，提示肾有再度出血或肾周血肿破裂，故此时最恰当的治疗措施为积极补液、输血等抗休克治疗，同时准备手术探查止血（A对）。单纯输血（B错）、输液（D错）仅能短期缓解休克的症状，无法从根本上解决引起失血的原因。继续观察（E错）和抗感染（C错）治疗均为患者的辅助治疗措施，不是当前最主要的治疗措施。</t>
  </si>
  <si>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</si>
  <si>
    <t>考点还原：泌尿系统(含男性生殖系统)-泌尿、男性生殖系统肿瘤-前列腺癌的病理和临床分期。
参考答案：A。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B错)。T2期分为T2a期(C错)：肿瘤局限于并＜单叶的1/2；T2b期(D错)：肿瘤局限于并＞单叶的1/2；T2c期：肿瘤侵犯两叶，但仍局限于前列腺内。T3期分为T3a期：肿瘤侵犯并突破前列腺一叶或两叶包膜；T3b期：肿瘤侵犯精囊(E错)。T4期：肿瘤侵犯膀胱颈、尿道外括约肌、直肠、肛提肌和(或)盆壁。该患者前列腺癌已侵犯直肠，且有腰椎转移，为T4期表现(A对)。</t>
  </si>
  <si>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</si>
  <si>
    <t>考点还原：泌尿系统(含男性生殖系统)-泌尿、男性生殖系统肿瘤-前列腺癌的病理和临床分期。
参考答案：E。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T2期分为T2a期：肿瘤局限于并＜单叶的1/2；T2b期：肿瘤局限于并＞单叶的1/2；T2c期：肿瘤侵犯两叶，但仍局限于前列腺内。T3期分为T3a期：肿瘤侵犯并突破前列腺一叶或两叶包膜；T3b期：肿瘤侵犯精囊。T4期：肿瘤侵犯膀胱颈、尿道外括约肌、直肠、肛提肌和(或)盆壁。该患者前列腺癌已侵犯直肠，且有腰椎转移，故已属T4期。T4期前列腺癌患者多已失去手术根治机会，治疗以内分泌治疗为主，由于前列腺癌的发病与双氢睾酮有关，因此需行去势治疗，配合抗雄激素制剂可以提高患者的生存率。去势治疗可采用药物去势或手术去势(即双侧睾丸切除术)。因此，该患者最佳的治疗方法是药物去势+抗雄激素制剂(E对)。根治性前列腺切除术(AB错)适用于局限在前列腺包膜以内(T1b、T2期)的前列腺癌。前列腺癌为恶性肿瘤，须及时行药物或手术治疗，以延长患者生存期、提高患者的生存质量，不能只观察、对症处理(C错)。单纯的双侧睾丸切除术(D错)的治疗效果不及药物去势+抗雄激素制剂。</t>
  </si>
  <si>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</si>
  <si>
    <t>考点还原：泌尿系统（含男性生殖系统)-尿路感染-急性肾盂肾炎的诊断。
参考答案：D。
答案解析：中年女性患者（尿路感染的好发人群)，起病急，突发寒战高热，腰痛并尿急，尿痛1周（急性肾盂肾炎的临床表现)，体温39°C（超过38°C应考虑上尿路感染可能)，右侧肾区叩击痛阳性，尿蛋白（+)，白细胞20～30个/HP（提示尿路感染可能)，有白细胞管型，比重1.022（正常值1.015～1.025)，考虑本病为突然发病，此前又无类似症状，所以此病患最可能是急性肾盂肾炎（D对)。肾结石合并泌尿系统感染（B错)会出现类似症状，但平时会有腰痛和血尿等表现。膀胱炎（C错)一般无全身感染症状，少数患者出现腰痛、发热，但体温常不超过38°C。肾炎合并尿路感染（E错)会有类似症状，但平时会有肾炎的表现如血尿、蛋白尿、高血压和水肿。</t>
  </si>
  <si>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</si>
  <si>
    <t>考点还原：泌尿系统（含男性生殖系统)-尿路感染-急性肾盂肾炎的诊断。
参考答案：E。
答案解析：该患者诊断为急性肾盂肾炎的主要依据是尿蛋白（+)，白细胞20～30个/HP，白细胞管型0～2个/低倍（E对)。突然寒战高热（A错)可见于多种感染性疾病；腰痛（B错)和右侧肾区叩击痛（+)（D错)可见于肾盂肾炎、肾结石及肾周围炎等多种疾病；尿频尿痛（C错)可见于多种尿路感染的疾病。因此ABCD都不是最佳选择。</t>
  </si>
  <si>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</si>
  <si>
    <t>考点还原：泌尿系统（含男性生殖系统)-尿路感染-急性肾盂肾炎的诊断。
参考答案：D。
答案解析：患者初步考虑为急性肾盂肾炎，是由于各种病原微生物在肾盂肾盏中生长、繁殖而引起的炎症性疾病。尿路感染的诊断分为两步：一是尿路感染的诊断；二是尿路感染的定位诊断。因此，患者目前的需要进行的是尿路感染的诊断。尿细菌培养是尿路感染的金标准，所以为了诊断还需做的最主要的检查是尿细菌培养（D对)。血β2微球蛋白可反映肾小球的滤过功能及滤过负荷，常用于肾移植后的检测（A错)。尿β2微球蛋白可反映肾小管功能及滤过负荷，有助于鉴别上、下尿路感染，增多提示上尿路感染，但目前患者需明确的是否存在尿路感染，而定位诊断是下一步的诊断过程（B错)。血BUN（C错)、血肌酐（E错)是监测肾功能的主要指标，对尿路感染的诊断无帮助。</t>
  </si>
  <si>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</si>
  <si>
    <t>考点还原：泌尿系统(含男性生殖系统)-泌尿、男性生殖系统肿瘤-尿路上皮肿瘤-肾盂、输尿管癌的诊断与鉴别诊断。
参考答案：D。
答案解析：中年男性患者，无痛性肉眼血尿伴条状血块，膀胱镜见右输尿管口喷血(提示可能有上尿路肿瘤)，尿细胞学可见癌细胞，结合患者病史、临床表现和相关检查，应考虑为右侧肾盂癌。瘤体多为突向肾盂内的肿块，因此静脉尿路造影见肾盂充盈缺损对疾病的诊断具有重要价值(D对)。肾不显影(A错)提示患肾无功能，肾积水(B错)提示泌尿系梗阻，两者均不能明确病变的部位，故对疾病的诊断价值不大。静脉尿路造影只能显示尿路的改变，不能发现肾萎缩(C错)。肾盏破坏主要见于肾结核(E错)。</t>
  </si>
  <si>
    <t>男性，49岁。主诉反复无痛性肉眼血尿伴条状血块数月，膀胱镜检查见右输尿管口喷血，尿细胞学检查可见癌细胞。
14.（2分）假如明确诊断后首选的治疗方法是（B）【单选题】
A.右肾切除术
B.右肾、输尿管全切除
C.化疗
D.放疗
E.免疫治疗</t>
  </si>
  <si>
    <t>考点还原：泌尿系统(含男性生殖系统)-泌尿、男性生殖系统肿瘤-尿路上皮肿瘤-肾盂、输尿管癌的诊断与鉴别诊断。
参考答案：B。
答案解析：中年男性患者，无痛性肉眼血尿伴条状血块，膀胱镜见右输尿管口喷血(提示可能有上尿路肿瘤)，尿细胞学可见癌细胞，结合患者病史、临床表现和相关检查，应考虑为右侧肾盂、输尿管癌。明确诊断后，首选的治疗为切除患肾及全长输尿管，包括输尿管开口部位的膀胱壁(B对)。单纯肾切除术主要用于肾结核的治疗(A错)。肾盂癌对全身化疗不敏感(C错)。放疗仅用于晚期浸润性肿瘤(D错)。免疫治疗主要用于肾癌(E错)。</t>
  </si>
  <si>
    <t>B</t>
  </si>
  <si>
    <t>7.（2分）单侧肾结核，上肾盏虫蚀样改变，首选治疗方案是（A）【单选题】
A.抗结核治疗
B.病灶清除术
C.肾部分切除术
D.肾切除术
E.肾造瘘术</t>
  </si>
  <si>
    <t>考点还原：泌尿系统(含男性生殖系统)-泌尿系统结核-肾结核的治疗。
参考答案：A。
答案解析：一侧肾结核，上肾盏有虫蚀样改变，说明肾结核尚处于早期，因此首选的治疗方法是抗结核治疗，在正确应用抗结核药物治疗后多能治愈(A对)。病灶清除术(B错)适用于肾实质表面闭合性的、与集合系统不相通的局灶性结核脓肿；肾部分切除术(C错)适用于结核病灶局限于肾的一极的患者；肾切除术(D错)主要用于肾结核破坏严重而对侧肾正常者；肾造瘘术(E错)主要用于患肾功能丧失、对侧肾积水严重的患者。</t>
  </si>
  <si>
    <t>8.（2分）单侧肾结核无功能，对侧肾重度积水合并尿毒症，首选治疗方案是（E）【单选题】
A.抗结核治疗
B.病灶清除术
C.肾部分切除术
D.肾切除术
E.肾造瘘术</t>
  </si>
  <si>
    <t>考点还原：泌尿系统(含男性生殖系统)-泌尿系统结核-肾结核的治疗。
参考答案：E。
答案解析：一侧肾结核无功能，说明肾已破坏严重，考虑需行患肾切除术；对侧肾重度积水并尿毒症，说明右侧肾功能代偿不良，故此时宜首先作肾造瘘术引流肾积水，保护对侧肾功能，待肾功能好转后再切除无功能的患肾(E对)。抗结核治疗主要用于病变较轻的早期肾结核(A错)。病灶清除术适用于肾实质表面闭合性的、与集合系统不相通的局灶性结核脓肿(B错)。肾部分切除术适用于结核病灶局限于肾的一极的患者(C错)。单纯肾切除术适用于肾结核破坏严重，而对侧正常的患者(D错)。</t>
  </si>
  <si>
    <t>9.（2分）单侧肾结核无功能，对侧肾功能正常，首选治疗方案是（D）【单选题】
A.抗结核治疗
B.病灶清除术
C.肾部分切除术
D.肾切除术
E.肾造瘘术</t>
  </si>
  <si>
    <t>考点还原：泌尿系统(含男性生殖系统)-泌尿系统结核-肾结核的治疗。
参考答案：D。
答案解析：患者一侧肾结核无功能，对侧肾功能正常，提示病变肾已失去功能且对侧肾脏代偿良好，此时应选择切除病肾以防止结核扩散和继发感染。肾切除术适用于一侧肾广泛破坏、无功能，而对侧肾功能正常者，术前应接受不少于2周的抗结核治疗，以减少术后并发症和防止结核播散(D对)。抗结核治疗适用于早期、病变局限的肾结核，或术前术后辅助治疗，但对已无功能的肾无效(A错)。病灶清除术适用于与肾盂不相通的闭合性脓肿，且抗结核治疗无效者，不适用于肾已无功能的情况(B错)。肾部分切除术适用于病灶局限于一极且与肾盂相通者，需经抗结核治疗后评估可行者，不适用于全肾无功能者(C错)。肾造瘘术适用于晚期肾结核合并对侧肾积水、尿毒症患者，暂时缓解肾功能，待病情稳定后再行肾切除术，不作为首选(E错)。</t>
  </si>
  <si>
    <t>X</t>
  </si>
  <si>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</si>
  <si>
    <t>考点还原：泌尿、男性生殖系统结核-泌尿系统结核的临床表现。
参考答案：ABDE。
答案解析：泌尿系结核的临床表现：A项正确，最早出现的症状常为尿频（膀胱结核所致）。B项正确，血尿多在膀胱收缩时出现，故多为终末血尿。C项错误，肾结核是全身结核的一部分，活动期常伴有低热、盗汗、乏力等全身症状。D项正确，病变累及肾被膜或合并结石、积水时可出现腰部钝痛或绞痛。E项正确，晚期并发症包括对侧肾积水、膀胱挛缩、结核性脓肾等。</t>
  </si>
  <si>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</si>
  <si>
    <t>考点还原：泌尿系统(含男性生殖系统)-泌尿、男性生殖系统肿瘤-尿路上皮肿瘤-膀胱肿瘤的治疗。
参考答案：ACE。
答案解析：依据癌浸润膀胱壁的深度将膀胱肿瘤分为：Tis原位癌；Ta无浸润的乳头状癌；T1浸润黏膜固有层；T2浸润肌层；T3浸润膀胱周围脂肪组织；T4浸润前列腺、子宫、阴道及盆壁等邻近器官。其中Tis、Ta、T1称为非肌层浸润性膀胱癌，T2以上则称为肌层浸润性膀胱癌。不同临床分期膀胱癌的治疗现总结如下：Tis(原位癌)可行化疗药物或卡介苗(BCG)膀胱灌注治疗。Ta、T1期肿瘤行经尿道膀胱肿瘤电切术(TURBt)，术后行膀胱灌注化疗。T2期低级别、局限的肿瘤可经尿道切除或行膀胱部分切除术。T3期低级别、单个局限、如病人不能耐受膀胱全切者可采用膀胱部分切除术；膀胱浸润性癌行根治性膀胱全切除术。T4期肌层浸润性癌常失去根治性手术机会，采用姑息性放化学治疗。故对于T3期、多发性的膀胱肿瘤，应首选根治性膀胱全切除术。膀胱部分切除术适用于某些特殊部位或复发性肿瘤，或TURBT无法彻底切除的病变，如位于输尿管口附近或合并憩室的肿瘤</t>
  </si>
  <si>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</si>
  <si>
    <t>考点还原：泌尿系统(含男性生殖系统)-泌尿、男性生殖系统肿瘤-前列腺癌的诊断。
参考答案：ABCD。
答案解析：男，75岁(前列腺癌病人发病年龄多超过65岁，高发年龄在70-74岁)，排尿困难3年，加重2周(下尿路梗阻症状，如尿频、尿急、尿流缓慢、尿流中断排尿不尽，甚至尿潴留或尿失禁是前列腺癌的常见症状)；直肠指检发现前列腺结节，质地硬，血清PSA30ng/ml(血清前列腺特异性抗原，正常范围为&lt;4ng/ml，PSA＞10ng/ml应高度怀疑前列腺癌)，综上所述，该患者最可能的疾病是前列腺癌，膀胱尿路造影(E错)可显示膀胱形态及其病变如损伤、畸形、瘘管、神经源性膀胱及膀胱肿瘤等，对前列腺癌病情评价没有意义。前列腺MRI(A对)对前列腺癌的诊断优于其他影像学方法，对T3期与T4期的MRI可以显示其侵及包膜外、膀胱颈以及盆腔肿大的淋巴结。泌尿系B超(B对)使用特殊的探头经直肠及膀胱内作360°旋转检查，有助于对膀胱、前列腺肿瘤的诊断和分期。全身放射性核素骨显像(C对)可早期发现骨转移病灶。前列腺癌可经血行、淋巴扩散或直接侵及邻近器官，最常见的转移部位是淋巴结和骨骼，其他转移部位是肺、肝、膀胱和肾上腺等，X线胸片(D对)可以评价是否有肺转移。</t>
  </si>
  <si>
    <t>5.（2分）下列哪些是肾结石行体外冲击波碎石的禁忌（BDE）【不定项选择题，全部选对得2分，其余情况不得分】
A.高血压
B.输尿管狭窄
C.糖尿病
D.肾动脉瘤
E.肾位置过高</t>
  </si>
  <si>
    <t>考点还原：泌尿系统(含男性生殖系统)-尿路结石-上尿路结石的治疗。
参考答案：BDE。
答案解析：体外冲击波碎石是上尿路结石常用的治疗方法，其原理是利用X线或B超定位结石，利用高能冲击波聚焦后作用于结石，使结石裂解，直至粉碎成细砂，随尿液排出体外。其主要禁忌症包括结石远端尿路梗阻(如输尿管狭窄)、妊娠、出血性疾病、严重心脑血管病等。</t>
  </si>
  <si>
    <t>6.（2分）下列选项哪些是常规血液透析的禁忌症（B）【不定项选择题，全部选对得2分，其余情况不得分】
A.肺部感染
B.新发脑出血
C.急性左心衰竭
D.糖尿病
E.高血压</t>
  </si>
  <si>
    <t>考点还原：泌尿系统(含男性生殖系统)-肾功能不全-慢性肾脏病的治疗。
参考答案：B。
答案解析：新发脑出血是常规血液透析的禁忌症之一，因为血液透析可能导致血压波动，从而加重脑出血病情(B错，为本题正确答案)。肺部感染不是血液透析的禁忌症，但需要在透析过程中加强护理和监测(A对)。急性左心衰竭患者可以进行血液透析以减轻心脏负担，改善症状(C对)。糖尿病患者可以接受血液透析治疗，且透析可以帮助控制血糖水平(D对)。高血压患者也可以进行血液透析，透析过程中需注意血压管理(E对)。</t>
  </si>
  <si>
    <t>7.（2分）对于尿道断裂的患者，不可进行的操作有（BD）【不定项选择题，全部选对得2分，其余情况不得分】
A.应用云南白药止血
B.逆行尿道造影
C.膀胱造瘘
D.导尿
E.应用抗生素</t>
  </si>
  <si>
    <t>考点还原：泌尿系统外伤-前尿道外伤的治疗。
参考答案：BD。
答案解析：抗感染止血均为辅助治疗措施，造瘘可暂时引流尿液。在尿道完全或不完全断裂时，盲目插入导尿管可能加重损伤，导致断端分离更远、形成假道或误入周围组织，引发感染、血肿扩大或二次出血。逆行尿道造影是诊断尿道断裂的重要检查，但需在明确无严重活动性出血、患者生命体征稳定时进行。若操作不当，高压注射造影剂可能加重尿液外渗或感染扩散。</t>
  </si>
  <si>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</si>
  <si>
    <t>考点还原：泌尿系统外伤-男性生殖系统感染-慢性细菌性前列腺炎的诊断。
参考答案：BD。
答案解析：(10版外科学P546)前列腺液检查 前列腺液白细胞＞10个/高倍镜视野，卵磷脂小体减少，可诊断为前列腺炎”，其余均不是诊断前列腺炎的标准。</t>
  </si>
  <si>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</si>
  <si>
    <t>大纲：泌尿系统(含男性生殖系统)-泌尿、男性生殖系统肿瘤-阴茎癌。
正确答案：ABCE。
答案解析：A正确：与包茎、包皮过长导致的包皮垢积聚、慢性刺激及HPV感染相关。B正确：阴茎癌绝大多数（&gt;95%）为鳞状细胞癌。C正确：早期表现为阴茎头或包皮内板乳头状或溃疡型新生物。D错误：腹股沟淋巴结肿大可能是炎性反应（因肿瘤常合并感染），不一定都是转移，需行活检病理证实。E正确：治疗以手术为主，根据肿瘤分期和侵犯范围决定行包皮环切、阴茎部分切除或阴茎全切术。</t>
  </si>
  <si>
    <t>M卷</t>
  </si>
  <si>
    <t>A1</t>
  </si>
  <si>
    <t>1. （2分）对于突发全程肉眼血尿、无尿路刺激征的患者，为鉴别血尿来源，首选的检查是？（D）【单选题】
A. 膀胱镜检查
B. 清洁中段尿培养
C. 静脉肾盂造影
D. 尿相差显微镜检查
E. 同位素肾动脉扫描</t>
  </si>
  <si>
    <t>考点还原：尿液检查-血尿。
参考答案：D。
答案解析：对于突发全程肉眼血尿、无尿路刺激征的患者，首要任务是鉴别血尿是肾小球源性还是非肾小球源性（如结石、肿瘤等）。尿相差显微镜检查（相差镜检）是无创、快速、有效的首选方法，通过观察尿红细胞形态（均一性或变异性）来初步判断血尿来源（D对）。膀胱镜检查属于有创检查，通常用于发现膀胱或尿道病变，如肿瘤，但非首选（A错）。清洁中段尿培养主要用于诊断尿路感染（B错）。静脉肾盂造影主要用于了解尿路结构和功能，常用于诊断结石、肿瘤或畸形（C错）。同位素肾动脉扫描主要用于评估肾动脉血流（E错）。</t>
  </si>
  <si>
    <t>2. （2分）膀胱肿瘤最常见的首发症状是（C）【单选题】
A. 尿频、尿急、尿痛
B. 下腹部疼痛
C. 无痛性肉眼血尿
D. 排尿困难
E. 腰部疼痛</t>
  </si>
  <si>
    <t>考点还原：泌尿、男性生殖系统肿瘤-尿路上皮肿瘤（膀胱肿瘤，肾盂、输尿管癌）。
参考答案：C。
答案解析：无痛性肉眼血尿是膀胱肿瘤最常见、最早出现的症状，约85%的患者以此为首发症状。其特点是间歇性、全程性、无痛性，可自行停止（C对）。尿频、尿急、尿痛常由肿瘤坏死、溃疡或合并感染引起，或为晚期肿瘤浸润膀胱壁的表现（A错）。下腹部疼痛、排尿困难、腰部疼痛多为肿瘤晚期或引起梗阻时的表现（BDE错）。</t>
  </si>
  <si>
    <t>6. （2分）对侧肾功能正常的局限性肾癌（T1期），最适宜的治疗是？（D）【单选题】
A. 根治性肾切除术
B. 肾动脉栓塞术
C. 密切观察随访
D. 肾部分切除术
E. 放射治疗</t>
  </si>
  <si>
    <t>考点还原：泌尿、男性生殖系统肿瘤-肾肿瘤（肾癌、肾母细胞瘤、肾血管平滑肌脂肪瘤）。
参考答案：D。
答案解析：对于局限性肾癌（T1期，通常指肿瘤最大径≤7cm），目前的标准治疗是保留肾单位手术，即肾部分切除术。其肿瘤控制效果与根治性肾切除术相当，但能最大程度保留肾功能，降低远期发生慢性肾病、心血管事件的风险，因此是最适宜的治疗（D对）。根治性肾切除术适用于肿瘤较大、位置不佳或侵犯肾周脂肪囊的病例（A错）。肾动脉栓塞术主要用于辅助治疗或姑息治疗（B错）。主动监测适用于高龄、合并症多、肿瘤小（如&lt;3cm）的患者，并非所有T1期肾癌的首选（C错）。放射治疗对肾癌不敏感（E错）。</t>
  </si>
  <si>
    <t>7. （2分）骑跨伤后会阴部疼痛、尿道出血、不能排尿，应考虑的诊断是？（A）【单选题】
A. 尿道球部损伤
B. 耻骨骨折
C. 后尿道损伤
D. 睾丸损伤
E. 膀胱破裂</t>
  </si>
  <si>
    <t>考点还原：泌尿系统外伤-前尿道外伤。
参考答案：A。
答案解析：会阴部骑跨伤是导致尿道球部损伤的典型外伤机制。伤后出现会阴部疼痛、尿道口滴血（尿道出血）和不能排尿（尿潴留），是尿道球部损伤的“三联征”。因此，应考虑的诊断是尿道球部损伤（A对）。后尿道损伤（C错）多合并骨盆骨折，表现为下腹部疼痛、骨盆畸形及休克等。耻骨骨折（B错）和睾丸损伤（D错）可有局部疼痛，但尿道出血和排尿困难不是其主要表现。膀胱破裂（E错）主要表现为下腹剧痛、腹膜炎体征，但尿道口无出血。</t>
  </si>
  <si>
    <t>11. （2分）膀胱结石最典型的临床表现是:（A）【单选题】
A. 排尿困难伴尿流中断，改变体位后可继续排尿
B. 无痛性肉眼血尿
C. 尿频、尿急、尿痛，无排尿中断
D. 进行性排尿困难，尿线变细
E. 腰部绞痛伴镜下血尿</t>
  </si>
  <si>
    <t>考点还原：尿路结石-膀胱结石的临床表现。
参考答案：A。
答案解析：膀胱结石最典型的临床表现是排尿过程中结石突然堵塞尿道内口，导致排尿突然中断，并伴有阴茎头部剧痛。改变体位（如蹲下或跳动）后，结石移动，排尿又可恢复（A对）。无痛性肉眼血尿多见于肿瘤（B错）。尿频、尿急、尿痛但无中断多见于膀胱炎（C错）。进行性排尿困难多见于前列腺增生（D错）。腰部绞痛伴镜下血尿是上尿路结石的典型表现（E错）。</t>
  </si>
  <si>
    <t>12.（2分）青年男性，单侧睾丸增大、质硬、有沉重感，应首先考虑的疾病是:（D）【单选题】
A. 睾丸鞘膜积液
B. 急性睾丸炎
C. 睾丸扭转
D. 睾丸肿瘤
E. 睾丸结核</t>
  </si>
  <si>
    <t>考点还原：泌尿、男性生殖系统肿瘤-睾丸肿瘤的症状。
参考答案：D。
答案解析：青年男性是睾丸肿瘤（尤其是精原细胞瘤和非精原细胞瘤）的好发年龄之一。单侧睾丸无痛性增大、质硬、有沉重感是其典型表现（D对）。睾丸鞘膜积液为囊性、透光试验阳性（A错）。急性睾丸炎和睾丸扭转均为急性疼痛性疾病（BC错）。睾丸结核常继发于泌尿系结核，起病缓慢，可伴阴囊窦道（E错）。</t>
  </si>
  <si>
    <t>13.（2分）精索静脉曲张呈海蛇团状，平静状态下可触及，其分度应为:（C）【单选题】
A. 一度
B. 二度
C. 三度
D. 四度
E. 亚临床</t>
  </si>
  <si>
    <t>考点还原：泌尿、男性生殖系统先天性畸形及其他疾病-精索静脉曲张概述。
参考答案：C。
答案解析：精索静脉曲张的临床分度通常采用三级分度法：Ⅰ度（轻度）：触诊不明显，患者屏气增加腹压时方可触及；Ⅱ度（中度）：外观正常，触诊可及迂曲的静脉；Ⅲ度（重度）：视诊即可见阴囊内迂曲、扩张的静脉团，呈“海蛇团状”，触诊明显。因此，题干描述的情况属于三度曲张（C对）。</t>
  </si>
  <si>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</si>
  <si>
    <t>考点还原：泌尿、男性生殖系统结核-泌尿系统结核。
参考答案：C。
答案解析：老年男性，反复尿路刺激症状伴终末血尿，静脉尿路造影显示右肾上盏边缘虫蚀样改变。这是肾结核在影像学上的特征性表现。虫蚀样改变是由于肾盂肾盏黏膜溃疡破坏所致。结合临床症状，最可能的诊断是右肾结核(C对)。右肾结石可表现为疼痛、血尿，但造影表现为充盈缺损或梗阻，而非虫蚀样改变(A错)。右肾肿瘤表现为占位性病变，肾盏受压变形或充盈缺损(B错)。慢性肾盂肾炎可导致肾盂肾盏变形、缩窄，但多为双侧性，且无结核特异性改变(D错)。右肾囊肿表现为边缘光滑的充盈缺损(E错)。</t>
  </si>
  <si>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</si>
  <si>
    <t>考点还原：肾功能不全-急性肾损伤(急性肾衰竭)-急性肾小管坏死的病因。
参考答案：C。
答案解析：患者急性心肌梗死PCI术后，因心源性休克使用大剂量血管活性药物（多巴胺、去甲肾上腺素），3天后出现尿量锐减、血肌酐急剧升高。尿检：比重低（1.010）、蛋白（+）、可见颗粒管型及肾小管上皮细胞。以上病史和检查结果高度提示急性肾小管坏死（ATN）。ATN是医院获得性急性肾衰竭最常见的类型，常见病因即肾缺血（如休克）和/或肾毒性药物。本例休克和使用血管活性药物导致肾灌注不足是主要诱因（C对）。急性肾小球肾炎、急进性肾小球肾炎、急性间质性肾炎、肾小血管炎各有其特定的病史、临床表现和免疫学/病理学特征，与本例的休克病史不符（A、B、D、E错）。</t>
  </si>
  <si>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</si>
  <si>
    <t>考点还原：泌尿系统梗阻-良性前列腺增生。
参考答案：B。
答案解析：老年男性，进行性排尿困难5年，夜尿增多。直肠指检前列腺增大，中央沟消失，质地韧，表面光滑。血清PSA正常（1.8ng/ml）。B超示前列腺体积增大（&gt;4×3×2cm），残余尿量40ml（增多）。以上是良性前列腺增生（BPH）的典型表现（B对）。前列腺癌直肠指检常触及质硬结节，PSA常显著升高（A错）。尿道狭窄常有外伤或感染史（C错）。神经源性膀胱功能障碍常有神经系统疾病史，表现为排尿困难和尿潴留，但直肠指检前列腺不大（D错）。膀胱颈挛缩症状类似，但前列腺不大（E错）。</t>
  </si>
  <si>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</si>
  <si>
    <t>考点还原：泌尿、男性生殖系统肿瘤-尿路上皮肿瘤（膀胱肿瘤，肾盂、输尿管癌）。
参考答案：C。
答案解析：中年男性，间歇性无痛性全程肉眼血尿，B超发现膀胱内有一个带蒂的、大小为1.5cm×2.0cm×1.0cm的新生物。对于表浅的（未侵及肌层）、有蒂的膀胱肿瘤，目前最常用的治疗方法是经尿道膀胱肿瘤电切术（TURBT），既可切除肿瘤，又可取得病理标本进行分期分级（C对）。膀胱部分切除术适用于憩室内肿瘤或不宜经尿道切除的肿瘤（A错）。根治性膀胱全切术用于浸润性膀胱癌或高危、复发的表浅癌（B错）。膀胱灌注化疗是TURBT后的辅助治疗，预防复发（D错）。全身化疗联合放疗主要用于晚期或转移性膀胱癌（E错）。</t>
  </si>
  <si>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</si>
  <si>
    <t>考点还原：泌尿、男性生殖系统先天性畸形及其他疾病-鞘膜积液。
参考答案：D。
答案解析：老年男性，右侧阴囊内无痛性肿块进行性增大，查体为囊性、表面光滑、透光试验阳性，但平卧后肿块不缩小（此点可排除交通性鞘膜积液和疝）。综合表现符合睾丸鞘膜积液。对于积液量较大、有症状的睾丸鞘膜积液，首选的治疗方法是睾丸鞘膜翻转术（D对）。腹股沟斜疝修补术用于疝（A错）。睾丸根治性切除用于睾丸肿瘤（B错）。鞘膜突高位结扎用于交通性鞘膜积液（C错）。定期穿刺抽液易复发且可能感染（E错）。</t>
  </si>
  <si>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</si>
  <si>
    <t>考点还原：肾功能不全-慢性肾脏病（慢性肾衰竭）的治疗。
参考答案：C。
答案解析：尿毒症患者突发脑出血，病情危重。此时进行肾脏替代治疗，必须考虑到脑出血患者需要稳定颅内压、避免出血加重。常规血液透析（C错）过程中需要使用肝素等抗凝剂以防止体外循环凝血，这有增加颅内出血或使出血加重的风险；同时，透析过程中超滤和渗透压变化可能导致血压波动，不利于颅内压稳定。因此，此时最应避免常规血液透析。连续性肾脏替代治疗（CRRT）（A对）和血液滤过（D对）对血流动力学影响小，且可采用局部枸橼酸抗凝等方式减少全身抗凝风险，相对更安全。腹膜透析（B对）无需抗凝，对血流动力学影响小，也是可选方案。血液灌流（E对）主要用于中毒等，非常规替代治疗。</t>
  </si>
  <si>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</si>
  <si>
    <t>考点还原：尿路感染-慢性肾盂肾炎的检查。
参考答案：B。
答案解析：中年女性，有长期反复尿路感染病史，近1年出现夜尿增多（肾小管功能受损）和血压升高。为评估慢性肾盂肾炎导致的肾脏形态和结构改变（如肾盂肾盏变形、缩窄、肾皮质瘢痕、肾脏不对称缩小等），静脉肾盂造影（IVP）是传统且最具诊断价值的检查方法。它能清晰显示肾盂、肾盏、输尿管的形态及其排空功能，是诊断慢性肾盂肾炎的重要依据(B对)。肾脏B超和CT平扫能观察肾脏大小、形态、有无结石积水，但对肾盂肾盏细微结构显示不如IVP(A、C错)。放射性核素肾图主要评价分肾功能和尿路通畅情况(D错)。膀胱镜检查用于观察膀胱内病变(E错)。</t>
  </si>
  <si>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</si>
  <si>
    <t>考点还原：肾功能不全-慢性肾脏病（慢性肾衰竭）。
参考答案：C。
答案解析：患者慢性肾功能不全病史，出现夜间双下肢难以名状的不适感（蚁走感、酸胀感），需活动或行走方能缓解，严重影响睡眠。神经系统查体无阳性体征。这是不宁腿综合征的典型表现，是慢性肾衰竭患者常见的周围神经病变之一（C对）。对称性肢体远端感觉异常多见于多发性神经病（A错）。肌无力、震颤、腱反射亢进并非题干描述的核心症状（B、D、E错）。</t>
  </si>
  <si>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</si>
  <si>
    <t>考点还原：泌尿、男性生殖系统肿瘤-尿路上皮肿瘤（膀胱肿瘤，肾盂、输尿管癌）。
参考答案：C。
答案解析：中年男性，无痛性肉眼血尿伴条状血块，膀胱镜见右输尿管口喷血，尿脱落细胞学发现癌细胞，提示上尿路（肾盂或输尿管）存在移行细胞癌。为明确上尿路肿瘤的部位、大小及肾功能，首选的影像学检查方法是静脉尿路造影（IVU），它可以显示肾盂、输尿管内的充盈缺损、狭窄或扩张等病变（C对）。肾脏B超可作为筛查，但不如IVU直观显示集合系统（A错）。盆腔CT在IVU基础上能提供更精确的肿瘤分期信息，但通常不是首选（B错）。肾动脉造影主要用于血管性病变（D错）。放射性核素肾图评估分肾功能，不用于显示形态（E错）。</t>
  </si>
  <si>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</si>
  <si>
    <t>考点还原：泌尿系统外伤-膀胱外伤。
参考答案：B。
答案解析：患者青年男性，有外伤史（摔倒），伤前大量饮水使膀胱充盈，外伤后出现下腹剧痛、无法自主排尿，但膀胱区无明显膨隆，提示膀胱可能未充盈。查体有腹膜刺激征，但生命体征平稳，尿道口无血迹。此情况需紧急鉴别是尿道断裂（特别是后尿道）还是膀胱破裂。导尿试验（B对）操作简单快捷，若导尿管顺利插入膀胱并引流出大量清亮尿液，可初步排除尿道断裂，并可引出尿液后行膀胱注水试验判断膀胱是否破裂，是首选的床边快速诊断方法。腹部CT平扫（A错）可提供更多解剖细节，但非首选。诊断性腹腔穿刺（C错）主要用于腹腔内出血或空腔脏器穿孔的诊断，本例首先需解决排尿通道问题。腹部立位X线平片（D错）对诊断空腔脏器穿孔有意义，对尿道损伤诊断价值有限。尿道造影（E错）是确诊尿道损伤的有效方法，但通常在导尿失败或怀疑尿道损伤时进行，且不是“首选”的快速检查。</t>
  </si>
  <si>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</si>
  <si>
    <t>考点还原：泌尿、男性生殖系统肿瘤-尿路上皮肿瘤（膀胱肿瘤，肾盂、输尿管癌）。
参考答案：E。
答案解析：患者间歇性无痛性肉眼血尿，膀胱镜见左侧输尿管口喷血，CTU提示左肾盂内菜花样肿物，同侧输尿管上段管壁增厚。综合诊断为左肾盂癌（尿路上皮癌）。上尿路尿路上皮癌（肾盂癌、输尿管癌）的标准术式是患侧肾、输尿管全长（包括输尿管口周围膀胱壁袖状切除）切除术。因为尿路上皮具有多中心发生和易种植转移的特性，必须完整切除患侧尿路上皮，防止输尿管残端复发。</t>
  </si>
  <si>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</si>
  <si>
    <t>考点还原：泌尿系统梗阻-肾积水。
参考答案：B。
答案解析：男婴，发现左腹部囊性包块，B超提示左肾重度积水，皮质变薄，肾盂肾盏明显扩张，但输尿管未见显示。儿童先天性肾积水最常见的原因是肾盂输尿管连接处梗阻（UPJO），由于该处肌纤维发育异常或血管压迫导致尿液排出受阻，引起肾盂进行性扩张积水。输尿管膀胱连接处梗阻（如输尿管囊肿、反流）也可引起积水，但常伴输尿管扩张。肾盂内梗阻少见。输尿管中段梗阻多由结石、肿瘤引起。后尿道梗阻（如瓣膜）常导致双侧积水。</t>
  </si>
  <si>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</si>
  <si>
    <t>考点还原：泌尿、男性生殖系统肿瘤-前列腺癌。
参考答案：A。
答案解析：患者因良性前列腺增生症状行TURP，术后病理偶然发现前列腺腺癌。根据前列腺癌TNM分期原则：T1期是指临床上无可触及或影像学不可见的肿瘤，仅通过病理检查发现。该患者术前PSA正常（4.2ng/ml），直肠指检未提及异常（若为T2期应为可触及），肿瘤是术后病理偶然发现的，且局限于切除的前列腺组织内（肿瘤局限于前列腺内）。这些完全符合T1期的定义（A对）。T2期（B错）指肿瘤局限于前列腺内，但临床可触及或影像学可见。T3期（C、D错）指肿瘤侵犯前列腺包膜外。T4期（E错）指肿瘤固定或侵犯除精囊外的邻近结构。</t>
  </si>
  <si>
    <t>39. （2分）女，55岁。因反复尿路感染就诊，尿常规检查提示pH值为7.8。腹部X线平片发现右肾区有一鹿角形高密度影。该患者尿液中形成的结石最可能是:（D）【单选题】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</si>
  <si>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</si>
  <si>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</si>
  <si>
    <t>考点还原：泌尿、男性生殖系统肿瘤-前列腺癌。
参考答案：B。
答案解析：患者老年男性，有排尿困难症状，直肠指检发现前列腺左叶质硬结节，边界不清（高度可疑恶性），血清PSA显著升高（15ng/ml，大于正常值4ng/ml）。为明确诊断前列腺癌，下一步最可靠的方法是经直肠前列腺穿刺活检，这是确诊的金标准。盆腔CT/MRI、骨扫描主要用于分期。经腹前列腺超声对前列腺内部结构显示不佳。</t>
  </si>
  <si>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</si>
  <si>
    <t xml:space="preserve">考点还原：尿路感染-无症状细菌尿。
参考答案：A。
答案解析：老年女性糖尿病患者，无尿路刺激症状及腰痛，尿常规白细胞0-1/HP，亚硝酸盐阴性，但糖尿病患者是无症状性细菌尿的高危人群。为明确是否存在无症状性尿路感染，首选的检查是清洁中段尿细菌定量培养。这是诊断尿路感染的金标准，可以明确是否有真性菌尿（通常菌落计数≥10⁵ CFU/ml）(A对)。泌尿系超声用于排查结构异常或并发症(B错)。尿蛋白定量用于评估蛋白尿程度(C错)。尿沉渣镜检白细胞不多，已初步排除(D错)。静脉肾盂造影有创且不必要(E错)。 </t>
  </si>
  <si>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</si>
  <si>
    <t>考点还原：泌尿、男性生殖系统结核-泌尿系统结核的治疗。
参考答案：E。
答案解析：患者有腰痛、低热、乏力及肺结核病史，尿检异常，静脉尿路造影提示右肾上盏虫蚀样改变伴肾盂肾盏扩张，符合肾结核诊断。决定肾结核治疗方案（药物保守治疗还是手术治疗）的主要依据是静脉尿路造影（或CT等影像学检查）显示的病变范围与程度。一般来说，早期、局限的肾结核可单纯药物治疗；若病变范围广、破坏严重（如肾脏大部被破坏、功能丧失）、合并梗阻、继发感染、药物疗效不佳或存在大出血风险时，则需考虑手术治疗。因此，影像学显示的病变范围与程度是决策的关键(E对)。膀胱刺激症状的严重程度、血尿程度、尿中找到抗酸杆菌、膀胱镜检查结果等也是参考因素，但非主要决策依据。</t>
  </si>
  <si>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</si>
  <si>
    <t>考点还原：泌尿、男性生殖系统肿瘤-前列腺癌。
参考答案：C。
答案解析：患者确诊为前列腺腺癌，临床分期T2bN0M0（局限于前列腺，无淋巴结及远处转移），患者一般情况好，预期寿命超过10年。对于局限性前列腺癌（T1-T2期），预期寿命较长的患者，根治性前列腺切除术是可能治愈的标准治疗方案之一。其他选项如抗雄激素药物、睾丸切除术、LHRH-a（药物去势）属于内分泌治疗，主要用于晚期或转移性前列腺癌。全身化疗用于去势抵抗性前列腺癌。</t>
  </si>
  <si>
    <t>A3-4</t>
  </si>
  <si>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</si>
  <si>
    <t>考点还原：泌尿系统梗阻-肾积水的检查。
参考答案：A。
答案解析：患者右肾积水，为明确积水原因（如结石、肿瘤、狭窄等），首选的检查是静脉尿路造影（IVU），它可以显示肾盂肾盏形态、输尿管走行及通畅情况，对梗阻部位和性质的判断有重要价值（A对）。逆行肾盂造影（B错）为有创检查，常用于IVU显影不佳时。CTU（C错）、MRU（D错）更清晰但非首选。肾动态显像（E错）主要用于功能评估。</t>
  </si>
  <si>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</si>
  <si>
    <t>考点还原：泌尿系统梗阻-肾积水的检查。
参考答案：E。
答案解析：放射性核素肾图（或肾动态显像）可以无创地测定分肾的肾小球滤过率（GFR），并通过分析排泄曲线判断是否存在梗阻及其程度，是同时了解肾功能和梗阻程度的非常有价值的检查方法（E对）。逆行造影（A错）、MRI（B错）、CT（C错）、B超（D错）主要提供形态学信息，对功能的定量评估有限。</t>
  </si>
  <si>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</si>
  <si>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</si>
  <si>
    <t>考点还原：泌尿系统梗阻-良性前列腺增生的检查。
参考答案：A。
答案解析：老年男性，进行性排尿困难是良性前列腺增生（BPH）的典型症状。直肠指检前列腺增大。为初步评估前列腺增生程度（大小、形态）、是否突入膀胱以及残余尿量，首选的检查是泌尿系统B超（经腹或经直肠）（A对）。经腹B超简单无创，可测量前列腺体积和残余尿量。尿流率检查（B错）是评估排尿功能的客观指标，但通常在其他检查之后进行。前列腺MRI（C错）和穿刺活检（D错）主要用于怀疑前列腺癌时。膀胱镜检查（E错）为有创检查，用于术前评估。</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</si>
  <si>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</si>
  <si>
    <t>考点还原：泌尿系统梗阻-良性前列腺增生的治疗。
参考答案：D。
答案解析：患者前列腺穿刺活检结果为良性前列腺增生，排除前列腺癌。针对其明显的排尿困难症状（夜尿增多、残余尿量80ml），治疗上应首先考虑药物治疗。对于前列腺体积增大（B超提示）且有症状的患者，α受体阻滞剂（缓解动力性梗阻）联合5α还原酶抑制剂（缩小前列腺体积，缓解静力性梗阻）是标准治疗方案（D对），尤其适用于前列腺体积较大的患者。观察等待（A错）适用于症状轻微者。单纯α受体阻滞剂（B错）或5α还原酶抑制剂（C错）也是选择，但联合治疗获益更大。经尿道前列腺电切术（TURP）（E错）是药物治疗效果不佳或出现并发症时的选择。</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</si>
  <si>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</si>
  <si>
    <t>考点还原：尿路结石-上尿路结石的临床表现。
参考答案：B。
答案解析：青年孕妇，孕18周，突发典型肾绞痛（右侧腰腹部剧痛，阵发性，向会阴放射），伴恶心呕吐，尿常规示镜下血尿，B超提示右肾积水、右输尿管上段扩张。这是上尿路结石（右侧输尿管结石）引起急性梗阻的典型表现（B对）。急性肾盂肾炎（A错）多伴发热、寒战及膀胱刺激征。卵巢囊肿蒂扭转（C错）为妇科急症，疼痛位于下腹，与排尿无关。急性阑尾炎（D错）疼痛多始于上腹或脐周，后转移至右下腹。胎盘早剥（E错）有阴道流血、腹痛及胎心变化。</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</si>
  <si>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</si>
  <si>
    <t>考点还原：尿路结石-上尿路结石的检查。
参考答案：D。
答案解析：孕妇患泌尿系结石，检查需避免辐射对胎儿的影响。磁共振尿路成像（MRU）（D对）无辐射，无需造影剂，可清晰显示尿路解剖结构和结石导致的梗阻部位，是评估孕妇肾积水和结石位置最适宜的检查。腹部X线平片（KUB）（A错）和CT平扫（C错）有辐射。静脉尿路造影（IVU）（B错）需使用造影剂并有辐射。放射性核素肾图（E错）有微量辐射，且解剖显示不清。</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</si>
  <si>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</si>
  <si>
    <t>考点还原：尿路结石-上尿路结石的治疗。
参考答案：C。
答案解析：妊娠期泌尿系结石的治疗原则以保守治疗为主。患者经保守治疗后疼痛缓解，肾积水未加重，说明梗阻可能为不完全性，结石有自行排出的可能。因此，后续处理原则应是继续保守治疗（多饮水、适当活动、解痉止痛），并定期复查B超监测肾积水变化和胎儿情况（C对）。妊娠期一般不进行有创手术（A、B错）和体外冲击波碎石（E错），除非出现保守治疗无效的顽固性疼痛、严重感染或肾功能进行性损害。不建议因此终止妊娠（D错）。</t>
  </si>
  <si>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</si>
  <si>
    <t>考点还原：泌尿、男性生殖系统肿瘤-前列腺癌的临床表现。
参考答案：D。
答案解析：老年男性，进行性排尿困难（BPH常见症状），但关键特征是出现持续性骨痛（腰骶部疼痛，夜间加重，提示骨转移可能）和直肠指检触及前列腺质硬结节。血清总PSA值高达82.0 ng/ml（正常值通常&lt;4 ng/ml），显著升高。这些表现（骨痛、硬结、极高PSA）高度提示前列腺癌，且很可能已发生骨转移（D对）。良性前列腺增生（A错）的PSA可轻度升高，但不会如此显著，且前列腺表面光滑、质韧，无骨痛。前列腺结核（B错）罕见，常伴其他部位结核或窦道形成。前列腺肉瘤（C错）多见于年轻人，病程进展极快。慢性前列腺炎（E错）PSA可轻度升高，但前列腺有压痛，无质硬结节和骨痛。</t>
  </si>
  <si>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</si>
  <si>
    <t>考点还原：泌尿、男性生殖系统肿瘤-前列腺癌的检查。
参考答案：B。
答案解析：患者临床高度怀疑前列腺癌伴骨转移，确诊需要前列腺穿刺活检。但在进行有创的穿刺活检前，或同时，为明确肿瘤分期（判断有无远处转移），全身骨显像（ECT）是筛查骨转移最敏感、最常用的方法，能够发现X线平片难以发现的早期骨转移灶（B对）。经直肠前列腺超声（TRUS）（A错）主要用于引导穿刺。盆腔CT（C错）主要用于评估盆腔淋巴结和局部侵犯。前列腺穿刺活检（D错）是确诊必须的，但题干问的是“为明确肿瘤分期”。腹部MRI（E错）对软组织分辨率高，但评估全身骨骼不如ECT全面。</t>
  </si>
  <si>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</si>
  <si>
    <t>考点还原：泌尿、男性生殖系统肿瘤-前列腺癌的分期。
参考答案：C。
答案解析：患者已通过穿刺活检确诊为前列腺腺癌，Gleason评分9分（高危）。同时，骨显像提示腰椎存在放射性浓聚灶，符合骨转移（M1）的诊断。根据TNM分期原则，一旦出现远处转移（M1），无论原发肿瘤（T）和区域淋巴结（N）情况如何，分期均为IV期。直肠指检发现肿瘤侵犯前列腺包膜外（质硬结节，边界不清），临床分期至少为T3。因此，结合骨转移，该患者最可能属于T4（侵犯邻近组织）N0（淋巴结情况未提，假设未及）M1，或简化为任何T、任何N、M1。选项中最符合的是T₄N₀M₁（C对）。T₂和T₃期均属于局限性疾病（M₀）。</t>
  </si>
  <si>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</si>
  <si>
    <t>考点还原：泌尿系统外伤-肾外伤的临床表现。
参考答案：D。
答案解析：患者有左腰部钝性外伤史，症状为持续性钝痛，体征为肾区叩痛，尿常规示镜下血尿。生命体征平稳，腹部无腹膜刺激征。这是肾损伤中最常见的类型——肾挫伤的表现，损伤局限于肾实质，肾包膜和肾盂肾盏完整（D对）。肾部分裂伤（A错）和肾全层裂伤（B错）通常出血更明显，可能有休克、腰部肿块。肾蒂损伤（C错）出血凶险，常迅速出现休克。肾盂撕裂伤（E错）多表现为大量肉眼血尿。</t>
  </si>
  <si>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</si>
  <si>
    <t>考点还原：泌尿系统外伤-肾外伤的检查。
参考答案：C。
答案解析：腹部CT平扫+增强是评估肾损伤程度和范围的首选检查。它能清晰显示肾实质损伤的范围、有无肾周血肿、尿外渗及活动性出血，并能同时检查有无其他腹腔脏器损伤，对肾损伤进行准确分级，从而指导治疗（C对）。腹部B超（A错）可作为初步筛查，但准确性不及CT。静脉尿路造影（B错）现已基本被CT取代。肾动脉造影（D错）主要用于诊断和治疗肾血管损伤。放射性核素肾图（E错）用于评估肾功能。</t>
  </si>
  <si>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</si>
  <si>
    <t>考点还原：泌尿系统外伤-肾外伤的治疗。
参考答案：A。
答案解析：CT证实为单纯性肾挫伤（I级损伤），包膜完整，无活动性出血。此为轻度肾损伤，治疗以保守治疗为主。绝对卧床休息2-4周可防止继发性出血，密切观察生命体征及尿液颜色变化至关重要（A对）。无需手术（B错、E错）或介入治疗（C错）。预防性使用广谱抗生素（D错）并非常规，仅在合并感染风险时使用。</t>
  </si>
  <si>
    <t>1.（2分）患者，男，45岁，右肾盂结石2.0cm，右肾轻度积水，肾功能正常，无感染。首选的治疗方法是（C）【单选题】
A. 肾盂切开取石
B. 药物排石
C. 体外冲击波碎石
D. 多饮水密切随访
E. 经皮肾镜碎石取石</t>
  </si>
  <si>
    <t>考点还原：尿路结石-上尿路结石。
参考答案：C。
答案解析：根据《中国泌尿外科疾病诊断治疗指南》，体外冲击波碎石（ESWL）是直径≤2cm的肾盂结石的首选治疗方法（C对）。患者右肾盂结石2.0cm，肾功能正常，无感染，符合ESWL的适应症。肾盂切开取石（A错）作为开放手术，创伤较大，已基本被微创方法取代。药物排石（B错）通常适用于直径＜0.6cm的结石。经皮肾镜碎石取石（PCNL）（E错）主要适用于直径＞2cm的肾结石或复杂结石。多饮水密切随访（D错）适用于小结石（如＜0.6cm）且无症状者。</t>
  </si>
  <si>
    <t>2.（2分）患者，女，50岁，左肾盂结石2.8cm，左肾中度积水，IVP显示肾功能良好。针对该结石大小和肾积水情况，最适宜的治疗方法是（E）【单选题】
A. 肾盂切开取石
B. 药物排石
C. 体外冲击波碎石
D. 多饮水密切随访
E. 经皮肾镜碎石取石</t>
  </si>
  <si>
    <t>考点还原：尿路结石-上尿路结石。
参考答案：E。
答案解析：根据《中国泌尿外科疾病诊断治疗指南》，对于直径＞2cm的肾结石，首选经皮肾镜碎石取石术（PCNL）（E对）。患者左肾盂结石达2.8cm，且伴有中度肾积水，PCNL能高效处理大结石并解除梗阻。体外冲击波碎石（ESWL）（C错）通常适用于≤2cm的结石，对于2.8cm的大结石碎石效果差、排石困难且易形成“石街”。肾盂切开取石（A错）创伤大，不作为首选。药物排石（B错）无效。多饮水密切随访（D错）会延误治疗，加重肾积水。</t>
  </si>
  <si>
    <t>3.（2分）患者，男，35岁，体检发现右肾下盏结石0.6cm，表面光滑，肾盂肾盏无积水，无临床症状。首选的处理方式是（D）【单选题】
A. 肾盂切开取石
B. 药物排石
C. 体外冲击波碎石
D. 多饮水密切随访
E. 经皮肾镜碎石取石</t>
  </si>
  <si>
    <t>考点还原：尿路结石-上尿路结石。
参考答案：D。
答案解析：患者为无症状肾下盏小结石（0.6cm），肾盂肾盏无积水，根据指南，此类情况可采取保守观察。首选处理方式是密切随访，鼓励患者多饮水（D对），以促进结石自行排出或防止其增大。体外冲击波碎石（C错）虽也可用于治疗，但并非无症状小结石的首选，且肾下盏结石排出率受盏颈角度影响。药物排石（B错）效果不确切。肾盂切开取石（A错）和经皮肾镜碎石（E错）均为有创治疗，创伤远大于获益，不适用于此情况。</t>
  </si>
  <si>
    <t>多项选择题</t>
  </si>
  <si>
    <t>1.（2分）肾母细胞瘤（Wilms瘤）常见的临床表现包括：（ABD）【不定项选择题，全部选对得2分，其余情况不得分】
A. 无症状的腹部巨大包块
B. 腹痛
C. 肉眼血尿
D. 高血压
E. 发热</t>
  </si>
  <si>
    <t>考点还原：泌尿、男性生殖系统肿瘤-肾肿瘤（肾癌、肾母细胞瘤、肾血管平滑肌脂肪瘤）-肾母细胞瘤的临床表现。
参考答案：ABD。
答案解析：正确答案是ABD。肾母细胞瘤（Wilms瘤）常见临床表现包括：A（无症状的腹部巨大包块），是最常见的首发症状。B（腹痛），可由肿瘤出血、坏死或压迫引起。D（高血压），因肿瘤压迫肾动脉或分泌肾素导致。C（肉眼血尿）和E（发热）相对少见。</t>
  </si>
  <si>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</si>
  <si>
    <t>考点还原：泌尿、男性生殖系统肿瘤-尿路上皮肿瘤（膀胱肿瘤，肾盂、输尿管癌）-膀胱肿瘤的概述。
参考答案：ABC。
答案解析：正确答案是ABC。A正确：膀胱癌最常见的组织类型是尿路上皮癌（移行细胞癌），约占90%以上。B正确：病理上最重要的因素是肿瘤的浸润深度（T分期），直接决定治疗方案和预后。C正确：鳞状细胞癌的发生与长期慢性刺激有关，如血吸虫病（埃及）、长期留置导尿管、慢性感染或结石。D错误：膀胱腺癌可发生于膀胱任何部位，但更常见于膀胱三角区和顶部（脐尿管残留）。E错误：预后主要取决于肿瘤的分期和分级，而非单纯的组织类型。</t>
  </si>
  <si>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</si>
  <si>
    <t>考点还原：泌尿、男性生殖系统先天性畸形及其他疾病-鞘膜积液、泌尿、男性生殖系统结核-男性生殖系统结核、泌尿、男性生殖系统肿瘤-睾丸肿瘤。
参考答案：ABCDE。
答案解析：A正确，睾丸肿瘤多为实质性、质硬、无痛性肿块，有沉重感，透光试验阴性。B正确，睾丸鞘膜积液时，睾丸被积液包绕，故触诊不清，透光试验阳性。C正确，交通性鞘膜积液因与腹腔相通，卧位时积液可流回腹腔，肿块缩小或消失，透光试验阳性。D正确，附睾结核常形成冷脓肿，可与阴囊皮肤粘连，破溃后形成经久不愈的窦道。E正确，精索静脉曲张在平卧位时因静脉回流改善而曲张静脉团缩小或消失，站立位Valsalva试验时静脉团增粗。正确答案为ABCDE。</t>
  </si>
  <si>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</si>
  <si>
    <t>考点还原：男性生殖系统感染-前列腺炎、泌尿、男性生殖系统肿瘤-前列腺癌。
参考答案：ABDE。
答案解析：正确答案ABDE。老年男性出现排尿不适、滴白、乏力等症状，需考虑慢性前列腺炎。合理检查包括：A项，尿常规（初步筛查）。B项，前列腺液常规（诊断的重要依据）。D项，泌尿系B超（经直肠更佳，可评估前列腺形态、有无结石等）。E项，前列腺按摩液细菌培养（鉴别细菌性与非细菌性）。C项，前列腺特异性抗原(PSA)测定主要用于筛查前列腺癌，在炎症急性期可一过性升高，但非诊断前列腺炎的常规或必要检查。</t>
  </si>
  <si>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</si>
  <si>
    <t>考点还原：男性生殖系统感染-附睾炎。
参考答案：ABC。
答案解析：患者前列腺术后，出现急性阴囊肿痛、发热，首先考虑急性附睾炎。A正确，阴囊超声可鉴别附睾炎、睾丸扭转、脓肿形成等。B正确，血常规可评估感染程度（白细胞、中性粒细胞升高）。C正确，尿常规及尿培养可明确是否合并尿路感染及病原菌。D错误，前列腺术后短期内不宜行前列腺按摩，且前列腺液检查对诊断急性附睾炎无直接帮助。E错误，阴囊CT平扫辐射大，且对软组织分辨率不如超声，一般不作为首选。</t>
  </si>
  <si>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</si>
  <si>
    <t>考点还原：泌尿、男性生殖系统先天性畸形及其他疾病-隐睾。
参考答案：ABC。
答案解析：隐睾的治疗原则：A正确，1岁以内隐睾有自行下降可能，可观察。B正确，内分泌治疗（如hCG）无效者，应行睾丸下降固定术。C正确，手术最佳时机为1-2岁，以最大程度保留睾丸生精功能，减少恶变风险。D错误，单侧隐睾同样影响生育能力和有恶变风险，需治疗。E错误，2岁后睾丸生精细胞开始出现不可逆损害，手术越晚对生育能力影响越大，5岁后手术已错过最佳时机。</t>
  </si>
  <si>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</si>
  <si>
    <t>考点还原：泌尿、男性生殖系统肿瘤-肾肿瘤（肾癌、肾母细胞瘤、肾血管平滑肌脂肪瘤）、泌尿、男性生殖系统肿瘤-前列腺癌、泌尿、男性生殖系统肿瘤-睾丸肿瘤、泌尿、男性生殖系统肿瘤-阴茎癌。
参考答案：ABCD。
答案解析：正确答案是ABCD。A正确：睾丸肿瘤主要分为生殖细胞肿瘤（精原细胞瘤、畸胎瘤、胚胎癌、卵黄囊瘤、绒毛膜癌等）和非生殖细胞肿瘤。B正确：在所列恶性肿瘤中，睾丸精原细胞瘤对化疗和放疗均高度敏感，治愈率很高。C正确：CT平扫+增强是诊断肾癌和评估分期的首选影像学检查。D正确：新生儿或儿童期行包皮环切术可显著降低成年后阴茎癌的发病率。E错误：睾丸质韧肿物，透光试验阴性，应首先考虑睾丸肿瘤，睾丸鞘膜积液为囊性，透光试验通常阳性。</t>
  </si>
  <si>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</si>
  <si>
    <t>考点还原：尿路结石-膀胱结石。
参考答案：ABCD。
答案解析：正确答案为ABCD。排尿中断伴会阴部剧痛是膀胱结石的典型症状（A正确）。改变体位后结石移动，可暂时解除对尿道内口的堵塞从而恢复排尿（B正确）。结石摩擦膀胱黏膜可引起终末血尿（C正确）。前列腺增生等下尿路梗阻是膀胱结石的常见原因（D正确）。膀胱结石的首选治疗是经尿道膀胱碎石取石术，体外冲击波碎石主要用于上尿路结石，对膀胱结石效果不佳（E错误）。</t>
  </si>
  <si>
    <t>8.（2分）急性膀胱炎最常见的致病菌是（D）【单选题】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</si>
  <si>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</si>
  <si>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9.（2分）无并发症的急性膀胱炎，抗生素疗程一般为（E）【单选题】
A. 14天
B. 5天
C. 7天
D. 10天
E. 3天</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</si>
  <si>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</si>
  <si>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10.（2分）X线平片不显影，但静脉尿路造影显示充盈缺损的结石类型是（D）【单选题】
A. 磷酸钙结石
B. 草酸钙结石
C. 混合结石
D. 尿酸结石
E. 磷酸镁铵结石</t>
  </si>
  <si>
    <t>考点还原：尿路结石-上尿路结石。
参考答案：D。
答案解析：X线平片（KUB）的显影程度取决于结石的含钙量。尿酸结石因其成分不含钙或含钙极少，在X线平片上不显影（即“阴性结石”），但在静脉尿路造影（IVP）时，结石占据空间，造影剂不能充盈，从而表现为充盈缺损（D对）。磷酸钙结石、草酸钙结石、混合性结石（常含钙）及磷酸镁铵结石（感染性结石，含钙）在X线平片上通常显影（ABCE错）。</t>
  </si>
  <si>
    <t xml:space="preserve">18.（2分）男，68岁。因排尿不畅就诊，自述排尿时尿流突然中断，变换体位后又能继续排尿，伴有下腹部钝痛。直肠指检前列腺Ⅱ度增大，表面光滑。该患者最可能出现的典型排尿症状是（D）。【单选题】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 </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</si>
  <si>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</si>
  <si>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19.（2分）男，19岁。剧烈运动后出现洗肉水样尿，无尿痛，休息后尿色恢复正常。为明确是否为真性血尿，门诊医生准备行尿沉渣镜检。下列关于血尿诊断标准的描述中，正确的是（C）。【单选题】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</si>
  <si>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</si>
  <si>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20.（2分）男，30岁。长跑后出现左侧腰部剧痛，并向左下腹放射，伴有肉眼血尿。查体：左肾区叩击痛明显。为明确诊断，首先应考虑的疾病是（C）【单选题】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</si>
  <si>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</si>
  <si>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21.（2分）男，50岁。因间歇性无痛性肉眼血尿2个月就诊。膀胱镜检见膀胱三角区多发菜花样新生物。病理活检提示尿路上皮癌。该患者所患肿瘤在泌尿系统肿瘤中的发病率情况是（A）【单选题】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</si>
  <si>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</si>
  <si>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22.（2分）男，4岁。因“发现腹部包块伴食欲减退2周”入院。查体：消瘦貌，右上腹可触及一约10cm×8cm大小包块，质硬，固定。血常规提示轻度贫血。腹部CT平扫提示右肾区巨大混杂密度肿块，跨越中线。该患儿最可能的诊断是（C）【单选题】
A. 肾结石合并肾积水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</si>
  <si>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</si>
  <si>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23.（2分）男，58岁。因间歇性无痛性肉眼血尿1周就诊，无尿频、尿急、尿痛。查体无特殊阳性发现。为明确是否存在肾脏占位性病变，首选的影像学检查方法是（D）【单选题】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</si>
  <si>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</si>
  <si>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 xml:space="preserve">24.（2分）男，65岁。因“腰痛、发热2天”就诊。B超提示右肾积水，右输尿管上段扩张。为同时评估右肾功能及梗阻程度，首选的检查是（E）。【单选题】  
A. 逆行肾盂造影
B. 肾脏MRI
C. 肾脏增强CT
D. 肾脏B超
E. 放射性核素肾图  </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</si>
  <si>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</si>
  <si>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15.（2分）根据尿相差显微镜结果，提示血尿最可能来源于（A）【单选题】
A. 肾小球
B. 肾小管
C. 肾盂
D. 输尿管
E. 膀胱</t>
  </si>
  <si>
    <t>考点还原：肾小球疾病-概述、尿液检查-血尿。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</si>
  <si>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16.（2分）为进一步明确肾脏病变性质，首选的检查方法是（D）【单选题】
A. 肾脏CT平扫
B. 静脉肾盂造影（IVP）
C. 肾动脉造影
D. 肾穿刺活检
E. 膀胱镜检查</t>
  </si>
  <si>
    <t>考点还原：肾小球疾病-概述、尿液检查-血尿。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</si>
  <si>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17.（2分）该患者最可能的诊断是（A）【单选题】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</si>
  <si>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</si>
  <si>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18.（2分）该疾病典型的病理类型是（C）【单选题】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</si>
  <si>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</si>
  <si>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4.（2分）患者反复肾绞痛3年，经常排出小结石，呈黄色，尿路X线平片检查未见显影，结石的性质最可能是（B）【单选题】
A. 磷酸镁铵结石
B. 尿酸结石
C. 磷酸钙结石
D. 混合结石
E. 草酸钙结石</t>
  </si>
  <si>
    <t>考点还原：尿路结石-概述、尿路结石-上尿路结石。
参考答案：B。
答案解析：患者反复肾绞痛，经常排出小结石，呈黄色，关键特征是“尿路X线平片检查未见显影”。在泌尿系结石中，阴性结石（平片不显影）主要包括纯尿酸结石和胱氨酸结石。黄色结石是尿酸结石的典型外观（B对）。磷酸镁铵结石（A错，感染石）和磷酸钙结石（C错）多为灰白色，且为阳性结石。混合结石（D错）和草酸钙结石（E错，最常见）通常为阳性结石。</t>
  </si>
  <si>
    <t>5.（2分）女，30岁。因反复肾绞痛住院。查体：双肾区叩痛明显。实验室检查：尿红细胞(++)，血尿酸及尿尿酸增高。B超示双肾多发结石，双肾轻度积水，KUB(-)，该患者结石在X线平片上的特点是（B）【单选题】
A. 磷酸镁铵结石
B. 尿酸结石
C. 磷酸钙结石
D. 混合结石
E. 草酸钙结石</t>
  </si>
  <si>
    <t>考点还原：尿路结石-概述、尿路结石-上尿路结石。
参考答案：B。
答案解析：青年女性，反复肾绞痛，B超示双肾多发结石，但“KUB(-)”即腹部平片阴性。同时实验室检查提示血尿酸及尿尿酸增高。这高度提示结石成分为尿酸。尿酸结石因其组成成分对X线吸收率与软组织相近，在X线平片上不显影，这是其最重要的影像学特点（B对）。磷酸镁铵结石（A错）和磷酸钙结石（C错）含有钙、镁等金属离子，密度高，在平片上可显影（阳性结石）。混合结石（D错）若含钙盐也会显影。草酸钙结石（E错）是最常见的阳性结石。</t>
  </si>
  <si>
    <t>6.（2分）男，55岁，痛风病史10年，近期出现腰痛、血尿。B超提示双肾多发强回声，KUB未见显影。其结石在X线平片上的特点是（B）【单选题】
A. 磷酸镁铵结石
B. 尿酸结石
C. 磷酸钙结石
D. 混合结石
E. 草酸钙结石</t>
  </si>
  <si>
    <t>考点还原：尿路结石-概述、尿路结石-上尿路结石。
参考答案：B。
答案解析：中年男性，有长期痛风病史（高尿酸血症），近期出现泌尿系症状，B超提示双肾多发结石但“KUB未见显影”。痛风患者易形成尿酸结石。尿酸结石的核心特点就是在X线平片上不显影，属阴性结石（B对）。分析同第二问。</t>
  </si>
  <si>
    <t>9.（2分）下列对于肾结核具有诊断意义的检查结果有：（ABC）【不定项选择题，全部选对得2分，其余情况不得分】
A. 静脉尿路造影显示肾盏边缘不整，如虫蚀样改变
B. 尿结核分枝杆菌培养阳性
C. 尿沉渣镜检发现抗酸杆菌
D. 尿常规检查呈酸性脓尿
E. B超提示肾脏体积增大，内部回声不均</t>
  </si>
  <si>
    <t>考点还原：泌尿、男性生殖系统结核-泌尿系统结核。
参考答案：ABC。
答案解析：正确答案是ABC。A正确：静脉尿路造影显示肾盏边缘不规则、模糊、空洞形成（虫蚀样改变）是肾结核的特征性影像学表现。B正确：尿结核杆菌培养阳性是诊断的金标准。C正确：尿沉渣镜检找到抗酸杆菌，结合临床可做出诊断，但需注意可能与包皮垢杆菌等抗酸染色阳性的非结核分枝杆菌混淆。D错误：肾结核尿多呈酸性，脓尿常见，但“酸性脓尿”并非特异性诊断依据，也可见于其他感染。E错误：B超表现缺乏特异性，可见于多种肾脏疾病。</t>
  </si>
  <si>
    <t>10.（2分）关于尿路感染与肾结核的鉴别，下列哪些观点是正确的（ABC）【不定项选择题，全部选对得2分，其余情况不得分】
A. 普通尿路感染抗生素治疗通常有效，肾结核则效果不佳
B. 两者均可出现膀胱刺激征
C. 尿结核分枝杆菌培养阳性是鉴别两者的金标准
D. 肾结核患者尿常规多为碱性
E. 静脉尿路造影对鉴别诊断价值不大</t>
  </si>
  <si>
    <t>考点还原：尿路感染-概述、泌尿、男性生殖系统结核-泌尿系统结核。
参考答案：ABC。
答案解析：正确答案是ABC。A正确：普通尿路感染（尤其下尿路感染）对抗生素敏感；肾结核对抗结核药物敏感，但对普通抗生素无效。B正确：两者均可引起膀胱黏膜炎症，出现刺激症状。C正确：尿结核杆菌培养阳性是鉴别两者的金标准。D错误：肾结核尿多为酸性，这与普通尿路感染（尤其某些细菌如变形杆菌感染致碱性尿）不同，是一个鉴别点。E错误：静脉尿路造影发现肾盏破坏、狭窄等是诊断肾结核的重要依据，对鉴别价值很大。</t>
  </si>
  <si>
    <t>11.（2分）关于尿路结石的成分与尿液酸碱度的关系，下列说法正确的有（ABE）【不定项选择题，全部选对得2分，其余情况不得分】
A. 磷酸盐结石易在碱性尿液中形成
B. 尿酸结石易在酸性尿液中形成
C. 草酸钙结石的形成与尿液酸碱度关系不大
D. 胱氨酸结石易在酸性尿液中形成
E. 通过调节尿液酸碱度可用于预防特定成分结石的复发</t>
  </si>
  <si>
    <t>考点还原：尿路结石-概述。
参考答案：ABE。
答案解析：正确答案是ABE。A正确：磷酸钙、磷酸镁铵结石易在碱性尿中形成。B正确：尿酸和胱氨酸结石易在酸性尿中形成。C错误：草酸钙结石在酸性或中性尿中均可形成，但并非“关系不大”。D错误：胱氨酸结石在酸性尿中更易形成和析出，而非碱性。E正确：根据结石成分调节尿液pH是重要的预防策略，如碱化尿液预防尿酸结石，酸化尿液预防感染性结石（但临床少用）。</t>
  </si>
  <si>
    <t>汇总</t>
  </si>
  <si>
    <t>次数</t>
  </si>
  <si>
    <t>比例</t>
  </si>
  <si>
    <t>合计选择认为是AI的</t>
  </si>
  <si>
    <t>合计选择认为是人工的</t>
  </si>
  <si>
    <t>人工被认为是AI</t>
  </si>
  <si>
    <t>成功识别人工题</t>
  </si>
  <si>
    <t>AI被认为是人工</t>
  </si>
  <si>
    <t>成功识别AI题</t>
  </si>
  <si>
    <t>总正确率</t>
  </si>
  <si>
    <t>A1汇总</t>
  </si>
  <si>
    <t>A2汇总</t>
  </si>
  <si>
    <t>A3-4汇总</t>
  </si>
  <si>
    <t>B汇总</t>
  </si>
  <si>
    <t>X汇总</t>
  </si>
  <si>
    <t>A3,4</t>
  </si>
  <si>
    <t>记忆</t>
  </si>
  <si>
    <t>理解</t>
  </si>
  <si>
    <t>应用</t>
  </si>
  <si>
    <t>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</si>
</sst>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rgb="FF80808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4" borderId="12" applyNumberFormat="0" applyAlignment="0" applyProtection="0">
      <alignment vertical="center"/>
    </xf>
    <xf numFmtId="0" fontId="12" fillId="5" borderId="13" applyNumberFormat="0" applyAlignment="0" applyProtection="0">
      <alignment vertical="center"/>
    </xf>
    <xf numFmtId="0" fontId="13" fillId="5" borderId="12" applyNumberFormat="0" applyAlignment="0" applyProtection="0">
      <alignment vertical="center"/>
    </xf>
    <xf numFmtId="0" fontId="14" fillId="6"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9">
    <xf numFmtId="0" fontId="0" fillId="0" borderId="0" xfId="0"/>
    <xf numFmtId="0" fontId="1" fillId="0" borderId="0" xfId="0" applyFont="1"/>
    <xf numFmtId="0" fontId="1" fillId="0" borderId="1" xfId="0" applyFont="1" applyBorder="1" applyAlignment="1">
      <alignment horizontal="center"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wrapText="1"/>
    </xf>
    <xf numFmtId="0" fontId="1" fillId="0" borderId="2" xfId="0" applyFont="1" applyBorder="1"/>
    <xf numFmtId="0" fontId="1" fillId="2" borderId="2" xfId="0" applyFont="1" applyFill="1" applyBorder="1"/>
    <xf numFmtId="0" fontId="1" fillId="0" borderId="3" xfId="0" applyFont="1" applyBorder="1" applyAlignment="1">
      <alignment horizontal="center" vertical="top" wrapText="1"/>
    </xf>
    <xf numFmtId="0" fontId="0" fillId="0" borderId="4" xfId="0" applyBorder="1" applyAlignment="1">
      <alignment vertical="top" wrapText="1"/>
    </xf>
    <xf numFmtId="0" fontId="0" fillId="0" borderId="4" xfId="0" applyFont="1" applyFill="1" applyBorder="1" applyAlignment="1">
      <alignment horizontal="left" vertical="top" wrapText="1"/>
    </xf>
    <xf numFmtId="0" fontId="0" fillId="0" borderId="4" xfId="0" applyFill="1" applyBorder="1" applyAlignment="1">
      <alignment horizontal="center" vertical="center"/>
    </xf>
    <xf numFmtId="0" fontId="0" fillId="2" borderId="4" xfId="0" applyFill="1"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center" vertical="top" wrapText="1"/>
    </xf>
    <xf numFmtId="0" fontId="0" fillId="0" borderId="4" xfId="0" applyFill="1" applyBorder="1" applyAlignment="1">
      <alignment horizontal="center" vertical="center"/>
    </xf>
    <xf numFmtId="0" fontId="1" fillId="0" borderId="0" xfId="0" applyFont="1" applyBorder="1" applyAlignment="1">
      <alignment horizontal="center" vertical="top" wrapText="1"/>
    </xf>
    <xf numFmtId="0" fontId="0" fillId="0" borderId="6" xfId="0" applyBorder="1" applyAlignment="1">
      <alignment vertical="top" wrapText="1"/>
    </xf>
    <xf numFmtId="0" fontId="1" fillId="0" borderId="7" xfId="0" applyFont="1" applyBorder="1" applyAlignment="1">
      <alignment horizontal="center" vertical="top" wrapText="1"/>
    </xf>
    <xf numFmtId="0" fontId="1" fillId="0" borderId="0" xfId="0" applyFont="1" applyAlignment="1">
      <alignment horizontal="center" vertical="top" wrapText="1"/>
    </xf>
    <xf numFmtId="0" fontId="1" fillId="0" borderId="8" xfId="0" applyFont="1" applyBorder="1" applyAlignment="1">
      <alignment horizontal="center"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0" fillId="0" borderId="0" xfId="0" applyAlignment="1">
      <alignment horizontal="center" vertical="top"/>
    </xf>
    <xf numFmtId="0" fontId="2" fillId="0" borderId="0" xfId="0" applyFont="1" applyAlignment="1">
      <alignment horizontal="center" vertical="top"/>
    </xf>
    <xf numFmtId="49" fontId="0" fillId="0" borderId="0" xfId="0" applyNumberFormat="1"/>
    <xf numFmtId="0" fontId="0" fillId="0" borderId="0" xfId="0" applyAlignment="1">
      <alignment wrapText="1"/>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tabSelected="1" zoomScale="60" zoomScaleNormal="60" topLeftCell="C1" workbookViewId="0">
      <pane ySplit="2" topLeftCell="A50" activePane="bottomLeft" state="frozen"/>
      <selection/>
      <selection pane="bottomLeft" activeCell="AC64" sqref="AC64"/>
    </sheetView>
  </sheetViews>
  <sheetFormatPr defaultColWidth="9.64601769911504" defaultRowHeight="13.5"/>
  <cols>
    <col min="1" max="1" width="4.52212389380531" style="24" customWidth="1"/>
    <col min="2" max="2" width="81.2654867256637" style="27" customWidth="1"/>
    <col min="3" max="3" width="63.1681415929204" customWidth="1"/>
    <col min="4" max="9" width="6.52212389380531" customWidth="1"/>
    <col min="10" max="10" width="10.5663716814159" customWidth="1"/>
    <col min="11" max="11" width="9" style="28"/>
    <col min="27" max="27" width="12.9380530973451" customWidth="1"/>
    <col min="28" max="28" width="9" style="28"/>
    <col min="29" max="29" width="19.4424778761062" customWidth="1"/>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81" spans="1:29">
      <c r="A3" s="15"/>
      <c r="B3" s="10" t="s">
        <v>28</v>
      </c>
      <c r="C3" s="11" t="s">
        <v>29</v>
      </c>
      <c r="D3" s="12">
        <v>5</v>
      </c>
      <c r="E3" s="12">
        <v>5</v>
      </c>
      <c r="F3" s="12">
        <v>5</v>
      </c>
      <c r="G3" s="12">
        <v>4</v>
      </c>
      <c r="H3" s="12">
        <v>5</v>
      </c>
      <c r="I3" s="12">
        <v>5</v>
      </c>
      <c r="J3" s="12">
        <v>5</v>
      </c>
      <c r="K3" s="13">
        <f t="shared" ref="K3:K52" si="0">SUM(D3:J3)</f>
        <v>34</v>
      </c>
      <c r="L3" s="12">
        <v>5</v>
      </c>
      <c r="M3" s="12">
        <v>5</v>
      </c>
      <c r="N3" s="12">
        <v>3</v>
      </c>
      <c r="O3" s="12">
        <v>5</v>
      </c>
      <c r="P3" s="12">
        <v>1</v>
      </c>
      <c r="Q3" s="12">
        <v>4</v>
      </c>
      <c r="R3" s="12">
        <v>4</v>
      </c>
      <c r="S3" s="12">
        <v>5</v>
      </c>
      <c r="T3" s="12">
        <v>5</v>
      </c>
      <c r="U3" s="12">
        <v>5</v>
      </c>
      <c r="V3" s="12">
        <v>5</v>
      </c>
      <c r="W3" s="12">
        <v>2</v>
      </c>
      <c r="X3" s="12">
        <v>1</v>
      </c>
      <c r="Y3" s="12">
        <v>3</v>
      </c>
      <c r="Z3" s="12">
        <v>3</v>
      </c>
      <c r="AA3" s="12">
        <v>3</v>
      </c>
      <c r="AB3" s="13">
        <f t="shared" ref="AB3:AB20" si="1">SUM(L3:AA3)</f>
        <v>59</v>
      </c>
      <c r="AC3" s="14"/>
    </row>
    <row r="4" ht="81" spans="1:29">
      <c r="A4" s="15"/>
      <c r="B4" s="10" t="s">
        <v>30</v>
      </c>
      <c r="C4" s="11" t="s">
        <v>31</v>
      </c>
      <c r="D4" s="12">
        <v>4</v>
      </c>
      <c r="E4" s="12">
        <v>5</v>
      </c>
      <c r="F4" s="12">
        <v>5</v>
      </c>
      <c r="G4" s="12">
        <v>4</v>
      </c>
      <c r="H4" s="12">
        <v>5</v>
      </c>
      <c r="I4" s="12">
        <v>5</v>
      </c>
      <c r="J4" s="12">
        <v>5</v>
      </c>
      <c r="K4" s="13">
        <f t="shared" si="0"/>
        <v>33</v>
      </c>
      <c r="L4" s="12">
        <v>5</v>
      </c>
      <c r="M4" s="12">
        <v>4</v>
      </c>
      <c r="N4" s="12">
        <v>3</v>
      </c>
      <c r="O4" s="12">
        <v>5</v>
      </c>
      <c r="P4" s="12">
        <v>1</v>
      </c>
      <c r="Q4" s="12">
        <v>4</v>
      </c>
      <c r="R4" s="12">
        <v>4</v>
      </c>
      <c r="S4" s="12">
        <v>3</v>
      </c>
      <c r="T4" s="12">
        <v>5</v>
      </c>
      <c r="U4" s="12">
        <v>5</v>
      </c>
      <c r="V4" s="12">
        <v>5</v>
      </c>
      <c r="W4" s="12">
        <v>2</v>
      </c>
      <c r="X4" s="12">
        <v>1</v>
      </c>
      <c r="Y4" s="12">
        <v>2</v>
      </c>
      <c r="Z4" s="12">
        <v>3</v>
      </c>
      <c r="AA4" s="12">
        <v>2</v>
      </c>
      <c r="AB4" s="13">
        <f t="shared" si="1"/>
        <v>54</v>
      </c>
      <c r="AC4" s="14"/>
    </row>
    <row r="5" ht="108" customHeight="1" spans="1:29">
      <c r="A5" s="15"/>
      <c r="B5" s="10" t="s">
        <v>32</v>
      </c>
      <c r="C5" s="11" t="s">
        <v>33</v>
      </c>
      <c r="D5" s="12">
        <v>5</v>
      </c>
      <c r="E5" s="12">
        <v>5</v>
      </c>
      <c r="F5" s="12">
        <v>5</v>
      </c>
      <c r="G5" s="12">
        <v>4</v>
      </c>
      <c r="H5" s="12">
        <v>5</v>
      </c>
      <c r="I5" s="12">
        <v>5</v>
      </c>
      <c r="J5" s="12">
        <v>5</v>
      </c>
      <c r="K5" s="13">
        <f t="shared" si="0"/>
        <v>34</v>
      </c>
      <c r="L5" s="12">
        <v>5</v>
      </c>
      <c r="M5" s="12">
        <v>5</v>
      </c>
      <c r="N5" s="12">
        <v>3</v>
      </c>
      <c r="O5" s="12">
        <v>5</v>
      </c>
      <c r="P5" s="12">
        <v>1</v>
      </c>
      <c r="Q5" s="12">
        <v>4</v>
      </c>
      <c r="R5" s="12">
        <v>3</v>
      </c>
      <c r="S5" s="12">
        <v>5</v>
      </c>
      <c r="T5" s="12">
        <v>5</v>
      </c>
      <c r="U5" s="12">
        <v>5</v>
      </c>
      <c r="V5" s="12">
        <v>5</v>
      </c>
      <c r="W5" s="12">
        <v>2</v>
      </c>
      <c r="X5" s="12">
        <v>1</v>
      </c>
      <c r="Y5" s="12">
        <v>3</v>
      </c>
      <c r="Z5" s="12">
        <v>3</v>
      </c>
      <c r="AA5" s="12">
        <v>3</v>
      </c>
      <c r="AB5" s="13">
        <f t="shared" si="1"/>
        <v>58</v>
      </c>
      <c r="AC5" s="14"/>
    </row>
    <row r="6" ht="81" spans="1:29">
      <c r="A6" s="15"/>
      <c r="B6" s="10" t="s">
        <v>34</v>
      </c>
      <c r="C6" s="11" t="s">
        <v>35</v>
      </c>
      <c r="D6" s="12">
        <v>5</v>
      </c>
      <c r="E6" s="12">
        <v>5</v>
      </c>
      <c r="F6" s="12">
        <v>5</v>
      </c>
      <c r="G6" s="12">
        <v>4</v>
      </c>
      <c r="H6" s="12">
        <v>5</v>
      </c>
      <c r="I6" s="12">
        <v>5</v>
      </c>
      <c r="J6" s="12">
        <v>5</v>
      </c>
      <c r="K6" s="13">
        <f t="shared" si="0"/>
        <v>34</v>
      </c>
      <c r="L6" s="12">
        <v>5</v>
      </c>
      <c r="M6" s="12">
        <v>5</v>
      </c>
      <c r="N6" s="12">
        <v>3</v>
      </c>
      <c r="O6" s="12">
        <v>5</v>
      </c>
      <c r="P6" s="12">
        <v>1</v>
      </c>
      <c r="Q6" s="12">
        <v>4</v>
      </c>
      <c r="R6" s="12">
        <v>4</v>
      </c>
      <c r="S6" s="12">
        <v>5</v>
      </c>
      <c r="T6" s="12">
        <v>5</v>
      </c>
      <c r="U6" s="12">
        <v>5</v>
      </c>
      <c r="V6" s="12">
        <v>5</v>
      </c>
      <c r="W6" s="12">
        <v>1</v>
      </c>
      <c r="X6" s="12">
        <v>1</v>
      </c>
      <c r="Y6" s="12">
        <v>3</v>
      </c>
      <c r="Z6" s="12">
        <v>3</v>
      </c>
      <c r="AA6" s="12">
        <v>3</v>
      </c>
      <c r="AB6" s="13">
        <f t="shared" si="1"/>
        <v>58</v>
      </c>
      <c r="AC6" s="14"/>
    </row>
    <row r="7" ht="81" spans="1:29">
      <c r="A7" s="15"/>
      <c r="B7" s="10" t="s">
        <v>36</v>
      </c>
      <c r="C7" s="11" t="s">
        <v>37</v>
      </c>
      <c r="D7" s="12">
        <v>5</v>
      </c>
      <c r="E7" s="12">
        <v>5</v>
      </c>
      <c r="F7" s="12">
        <v>5</v>
      </c>
      <c r="G7" s="12">
        <v>4</v>
      </c>
      <c r="H7" s="12">
        <v>5</v>
      </c>
      <c r="I7" s="12">
        <v>5</v>
      </c>
      <c r="J7" s="12">
        <v>5</v>
      </c>
      <c r="K7" s="13">
        <f t="shared" si="0"/>
        <v>34</v>
      </c>
      <c r="L7" s="12">
        <v>5</v>
      </c>
      <c r="M7" s="12">
        <v>5</v>
      </c>
      <c r="N7" s="12">
        <v>3</v>
      </c>
      <c r="O7" s="12">
        <v>5</v>
      </c>
      <c r="P7" s="12">
        <v>1</v>
      </c>
      <c r="Q7" s="12">
        <v>4</v>
      </c>
      <c r="R7" s="12">
        <v>4</v>
      </c>
      <c r="S7" s="12">
        <v>5</v>
      </c>
      <c r="T7" s="12">
        <v>5</v>
      </c>
      <c r="U7" s="12">
        <v>5</v>
      </c>
      <c r="V7" s="12">
        <v>5</v>
      </c>
      <c r="W7" s="12">
        <v>1</v>
      </c>
      <c r="X7" s="12">
        <v>1</v>
      </c>
      <c r="Y7" s="12">
        <v>3</v>
      </c>
      <c r="Z7" s="12">
        <v>3</v>
      </c>
      <c r="AA7" s="12">
        <v>3</v>
      </c>
      <c r="AB7" s="13">
        <f t="shared" si="1"/>
        <v>58</v>
      </c>
      <c r="AC7" s="14"/>
    </row>
    <row r="8" ht="108" customHeight="1" spans="1:29">
      <c r="A8" s="15"/>
      <c r="B8" s="10" t="s">
        <v>38</v>
      </c>
      <c r="C8" s="11" t="s">
        <v>39</v>
      </c>
      <c r="D8" s="12">
        <v>5</v>
      </c>
      <c r="E8" s="12">
        <v>5</v>
      </c>
      <c r="F8" s="12">
        <v>5</v>
      </c>
      <c r="G8" s="12">
        <v>4</v>
      </c>
      <c r="H8" s="12">
        <v>4</v>
      </c>
      <c r="I8" s="12">
        <v>4</v>
      </c>
      <c r="J8" s="12">
        <v>4</v>
      </c>
      <c r="K8" s="13">
        <f t="shared" si="0"/>
        <v>31</v>
      </c>
      <c r="L8" s="12">
        <v>5</v>
      </c>
      <c r="M8" s="12">
        <v>5</v>
      </c>
      <c r="N8" s="12">
        <v>3</v>
      </c>
      <c r="O8" s="12">
        <v>5</v>
      </c>
      <c r="P8" s="12">
        <v>1</v>
      </c>
      <c r="Q8" s="12">
        <v>4</v>
      </c>
      <c r="R8" s="12">
        <v>4</v>
      </c>
      <c r="S8" s="12">
        <v>5</v>
      </c>
      <c r="T8" s="12">
        <v>5</v>
      </c>
      <c r="U8" s="12">
        <v>5</v>
      </c>
      <c r="V8" s="12">
        <v>5</v>
      </c>
      <c r="W8" s="12">
        <v>1</v>
      </c>
      <c r="X8" s="12">
        <v>1</v>
      </c>
      <c r="Y8" s="12">
        <v>2</v>
      </c>
      <c r="Z8" s="12">
        <v>3</v>
      </c>
      <c r="AA8" s="12">
        <v>2</v>
      </c>
      <c r="AB8" s="13">
        <f t="shared" si="1"/>
        <v>56</v>
      </c>
      <c r="AC8" s="13"/>
    </row>
    <row r="9" ht="81" spans="1:29">
      <c r="A9" s="15"/>
      <c r="B9" s="10" t="s">
        <v>40</v>
      </c>
      <c r="C9" s="11" t="s">
        <v>41</v>
      </c>
      <c r="D9" s="12">
        <v>5</v>
      </c>
      <c r="E9" s="12">
        <v>5</v>
      </c>
      <c r="F9" s="12">
        <v>5</v>
      </c>
      <c r="G9" s="12">
        <v>4</v>
      </c>
      <c r="H9" s="12">
        <v>5</v>
      </c>
      <c r="I9" s="12">
        <v>5</v>
      </c>
      <c r="J9" s="12">
        <v>5</v>
      </c>
      <c r="K9" s="13">
        <f t="shared" si="0"/>
        <v>34</v>
      </c>
      <c r="L9" s="12">
        <v>5</v>
      </c>
      <c r="M9" s="12">
        <v>5</v>
      </c>
      <c r="N9" s="12">
        <v>3</v>
      </c>
      <c r="O9" s="12">
        <v>5</v>
      </c>
      <c r="P9" s="12">
        <v>1</v>
      </c>
      <c r="Q9" s="12">
        <v>3</v>
      </c>
      <c r="R9" s="12">
        <v>3</v>
      </c>
      <c r="S9" s="12">
        <v>5</v>
      </c>
      <c r="T9" s="12">
        <v>5</v>
      </c>
      <c r="U9" s="12">
        <v>5</v>
      </c>
      <c r="V9" s="12">
        <v>5</v>
      </c>
      <c r="W9" s="12">
        <v>2</v>
      </c>
      <c r="X9" s="12">
        <v>1</v>
      </c>
      <c r="Y9" s="12">
        <v>3</v>
      </c>
      <c r="Z9" s="12">
        <v>3</v>
      </c>
      <c r="AA9" s="12">
        <v>3</v>
      </c>
      <c r="AB9" s="13">
        <f t="shared" si="1"/>
        <v>57</v>
      </c>
      <c r="AC9" s="14"/>
    </row>
    <row r="10" ht="163" customHeight="1" spans="1:29">
      <c r="A10" s="15" t="s">
        <v>42</v>
      </c>
      <c r="B10" s="10" t="s">
        <v>43</v>
      </c>
      <c r="C10" s="11" t="s">
        <v>44</v>
      </c>
      <c r="D10" s="12">
        <v>5</v>
      </c>
      <c r="E10" s="12">
        <v>4</v>
      </c>
      <c r="F10" s="12">
        <v>5</v>
      </c>
      <c r="G10" s="12">
        <v>5</v>
      </c>
      <c r="H10" s="12">
        <v>4</v>
      </c>
      <c r="I10" s="12">
        <v>5</v>
      </c>
      <c r="J10" s="12">
        <v>5</v>
      </c>
      <c r="K10" s="13">
        <f t="shared" si="0"/>
        <v>33</v>
      </c>
      <c r="L10" s="12">
        <v>5</v>
      </c>
      <c r="M10" s="12">
        <v>5</v>
      </c>
      <c r="N10" s="12">
        <v>3</v>
      </c>
      <c r="O10" s="12">
        <v>5</v>
      </c>
      <c r="P10" s="12">
        <v>4</v>
      </c>
      <c r="Q10" s="12">
        <v>3</v>
      </c>
      <c r="R10" s="12">
        <v>3</v>
      </c>
      <c r="S10" s="12">
        <v>5</v>
      </c>
      <c r="T10" s="12">
        <v>3</v>
      </c>
      <c r="U10" s="12">
        <v>5</v>
      </c>
      <c r="V10" s="12">
        <v>5</v>
      </c>
      <c r="W10" s="12">
        <v>5</v>
      </c>
      <c r="X10" s="12">
        <v>3</v>
      </c>
      <c r="Y10" s="12">
        <v>4</v>
      </c>
      <c r="Z10" s="12">
        <v>3</v>
      </c>
      <c r="AA10" s="12">
        <v>4</v>
      </c>
      <c r="AB10" s="13">
        <f t="shared" si="1"/>
        <v>65</v>
      </c>
      <c r="AC10" s="13"/>
    </row>
    <row r="11" ht="108" spans="1:29">
      <c r="A11" s="15"/>
      <c r="B11" s="10" t="s">
        <v>45</v>
      </c>
      <c r="C11" s="11" t="s">
        <v>46</v>
      </c>
      <c r="D11" s="12">
        <v>5</v>
      </c>
      <c r="E11" s="12">
        <v>5</v>
      </c>
      <c r="F11" s="12">
        <v>5</v>
      </c>
      <c r="G11" s="12">
        <v>5</v>
      </c>
      <c r="H11" s="12">
        <v>4</v>
      </c>
      <c r="I11" s="12">
        <v>5</v>
      </c>
      <c r="J11" s="12">
        <v>5</v>
      </c>
      <c r="K11" s="13">
        <f t="shared" si="0"/>
        <v>34</v>
      </c>
      <c r="L11" s="12">
        <v>5</v>
      </c>
      <c r="M11" s="12">
        <v>5</v>
      </c>
      <c r="N11" s="12">
        <v>3</v>
      </c>
      <c r="O11" s="12">
        <v>5</v>
      </c>
      <c r="P11" s="12">
        <v>1</v>
      </c>
      <c r="Q11" s="12">
        <v>4</v>
      </c>
      <c r="R11" s="12">
        <v>4</v>
      </c>
      <c r="S11" s="12">
        <v>5</v>
      </c>
      <c r="T11" s="12">
        <v>5</v>
      </c>
      <c r="U11" s="12">
        <v>5</v>
      </c>
      <c r="V11" s="12">
        <v>5</v>
      </c>
      <c r="W11" s="12">
        <v>3</v>
      </c>
      <c r="X11" s="12">
        <v>1</v>
      </c>
      <c r="Y11" s="12">
        <v>3</v>
      </c>
      <c r="Z11" s="12">
        <v>3</v>
      </c>
      <c r="AA11" s="12">
        <v>3</v>
      </c>
      <c r="AB11" s="13">
        <f t="shared" si="1"/>
        <v>60</v>
      </c>
      <c r="AC11" s="14"/>
    </row>
    <row r="12" ht="94.5" spans="1:29">
      <c r="A12" s="15"/>
      <c r="B12" s="10" t="s">
        <v>47</v>
      </c>
      <c r="C12" s="11" t="s">
        <v>48</v>
      </c>
      <c r="D12" s="12">
        <v>5</v>
      </c>
      <c r="E12" s="12">
        <v>5</v>
      </c>
      <c r="F12" s="12">
        <v>5</v>
      </c>
      <c r="G12" s="12">
        <v>5</v>
      </c>
      <c r="H12" s="12">
        <v>5</v>
      </c>
      <c r="I12" s="12">
        <v>5</v>
      </c>
      <c r="J12" s="12">
        <v>5</v>
      </c>
      <c r="K12" s="13">
        <f t="shared" si="0"/>
        <v>35</v>
      </c>
      <c r="L12" s="12">
        <v>5</v>
      </c>
      <c r="M12" s="12">
        <v>5</v>
      </c>
      <c r="N12" s="12">
        <v>3</v>
      </c>
      <c r="O12" s="12">
        <v>5</v>
      </c>
      <c r="P12" s="12">
        <v>2</v>
      </c>
      <c r="Q12" s="12">
        <v>4</v>
      </c>
      <c r="R12" s="12">
        <v>3</v>
      </c>
      <c r="S12" s="12">
        <v>5</v>
      </c>
      <c r="T12" s="12">
        <v>5</v>
      </c>
      <c r="U12" s="12">
        <v>5</v>
      </c>
      <c r="V12" s="12">
        <v>5</v>
      </c>
      <c r="W12" s="12">
        <v>3</v>
      </c>
      <c r="X12" s="12">
        <v>2</v>
      </c>
      <c r="Y12" s="12">
        <v>3</v>
      </c>
      <c r="Z12" s="12">
        <v>3</v>
      </c>
      <c r="AA12" s="12">
        <v>3</v>
      </c>
      <c r="AB12" s="13">
        <f t="shared" si="1"/>
        <v>61</v>
      </c>
      <c r="AC12" s="14"/>
    </row>
    <row r="13" ht="108" spans="1:29">
      <c r="A13" s="15"/>
      <c r="B13" s="10" t="s">
        <v>49</v>
      </c>
      <c r="C13" s="11" t="s">
        <v>50</v>
      </c>
      <c r="D13" s="12">
        <v>5</v>
      </c>
      <c r="E13" s="12">
        <v>5</v>
      </c>
      <c r="F13" s="12">
        <v>5</v>
      </c>
      <c r="G13" s="12">
        <v>5</v>
      </c>
      <c r="H13" s="12">
        <v>5</v>
      </c>
      <c r="I13" s="12">
        <v>5</v>
      </c>
      <c r="J13" s="12">
        <v>5</v>
      </c>
      <c r="K13" s="13">
        <f t="shared" si="0"/>
        <v>35</v>
      </c>
      <c r="L13" s="12">
        <v>5</v>
      </c>
      <c r="M13" s="12">
        <v>5</v>
      </c>
      <c r="N13" s="12">
        <v>3</v>
      </c>
      <c r="O13" s="12">
        <v>5</v>
      </c>
      <c r="P13" s="12">
        <v>2</v>
      </c>
      <c r="Q13" s="12">
        <v>4</v>
      </c>
      <c r="R13" s="12">
        <v>3</v>
      </c>
      <c r="S13" s="12">
        <v>5</v>
      </c>
      <c r="T13" s="12">
        <v>5</v>
      </c>
      <c r="U13" s="12">
        <v>5</v>
      </c>
      <c r="V13" s="12">
        <v>5</v>
      </c>
      <c r="W13" s="12">
        <v>2</v>
      </c>
      <c r="X13" s="12">
        <v>2</v>
      </c>
      <c r="Y13" s="12">
        <v>3</v>
      </c>
      <c r="Z13" s="12">
        <v>3</v>
      </c>
      <c r="AA13" s="12">
        <v>3</v>
      </c>
      <c r="AB13" s="13">
        <f t="shared" si="1"/>
        <v>60</v>
      </c>
      <c r="AC13" s="14"/>
    </row>
    <row r="14" ht="98" customHeight="1" spans="1:29">
      <c r="A14" s="15"/>
      <c r="B14" s="10" t="s">
        <v>51</v>
      </c>
      <c r="C14" s="11" t="s">
        <v>52</v>
      </c>
      <c r="D14" s="12">
        <v>5</v>
      </c>
      <c r="E14" s="12">
        <v>5</v>
      </c>
      <c r="F14" s="12">
        <v>5</v>
      </c>
      <c r="G14" s="12">
        <v>5</v>
      </c>
      <c r="H14" s="12">
        <v>5</v>
      </c>
      <c r="I14" s="12">
        <v>5</v>
      </c>
      <c r="J14" s="12">
        <v>5</v>
      </c>
      <c r="K14" s="13">
        <f t="shared" si="0"/>
        <v>35</v>
      </c>
      <c r="L14" s="12">
        <v>5</v>
      </c>
      <c r="M14" s="12">
        <v>5</v>
      </c>
      <c r="N14" s="12">
        <v>3</v>
      </c>
      <c r="O14" s="12">
        <v>5</v>
      </c>
      <c r="P14" s="12">
        <v>1</v>
      </c>
      <c r="Q14" s="12">
        <v>4</v>
      </c>
      <c r="R14" s="12">
        <v>4</v>
      </c>
      <c r="S14" s="12">
        <v>5</v>
      </c>
      <c r="T14" s="12">
        <v>5</v>
      </c>
      <c r="U14" s="12">
        <v>5</v>
      </c>
      <c r="V14" s="12">
        <v>5</v>
      </c>
      <c r="W14" s="12">
        <v>3</v>
      </c>
      <c r="X14" s="12">
        <v>2</v>
      </c>
      <c r="Y14" s="12">
        <v>3</v>
      </c>
      <c r="Z14" s="12">
        <v>3</v>
      </c>
      <c r="AA14" s="12">
        <v>3</v>
      </c>
      <c r="AB14" s="13">
        <f t="shared" si="1"/>
        <v>61</v>
      </c>
      <c r="AC14" s="14"/>
    </row>
    <row r="15" ht="108" spans="1:29">
      <c r="A15" s="15"/>
      <c r="B15" s="10" t="s">
        <v>53</v>
      </c>
      <c r="C15" s="11" t="s">
        <v>54</v>
      </c>
      <c r="D15" s="12">
        <v>4</v>
      </c>
      <c r="E15" s="12">
        <v>5</v>
      </c>
      <c r="F15" s="12">
        <v>4</v>
      </c>
      <c r="G15" s="12">
        <v>5</v>
      </c>
      <c r="H15" s="12">
        <v>5</v>
      </c>
      <c r="I15" s="12">
        <v>5</v>
      </c>
      <c r="J15" s="12">
        <v>5</v>
      </c>
      <c r="K15" s="13">
        <f t="shared" si="0"/>
        <v>33</v>
      </c>
      <c r="L15" s="12">
        <v>5</v>
      </c>
      <c r="M15" s="12">
        <v>5</v>
      </c>
      <c r="N15" s="12">
        <v>3</v>
      </c>
      <c r="O15" s="12">
        <v>5</v>
      </c>
      <c r="P15" s="12">
        <v>1</v>
      </c>
      <c r="Q15" s="12">
        <v>4</v>
      </c>
      <c r="R15" s="12">
        <v>4</v>
      </c>
      <c r="S15" s="12">
        <v>5</v>
      </c>
      <c r="T15" s="12">
        <v>5</v>
      </c>
      <c r="U15" s="12">
        <v>5</v>
      </c>
      <c r="V15" s="12">
        <v>5</v>
      </c>
      <c r="W15" s="12">
        <v>3</v>
      </c>
      <c r="X15" s="12">
        <v>2</v>
      </c>
      <c r="Y15" s="12">
        <v>4</v>
      </c>
      <c r="Z15" s="12">
        <v>3</v>
      </c>
      <c r="AA15" s="12">
        <v>4</v>
      </c>
      <c r="AB15" s="13">
        <f t="shared" si="1"/>
        <v>63</v>
      </c>
      <c r="AC15" s="14"/>
    </row>
    <row r="16" ht="94.5" spans="1:29">
      <c r="A16" s="15"/>
      <c r="B16" s="10" t="s">
        <v>55</v>
      </c>
      <c r="C16" s="11" t="s">
        <v>56</v>
      </c>
      <c r="D16" s="12">
        <v>5</v>
      </c>
      <c r="E16" s="12">
        <v>5</v>
      </c>
      <c r="F16" s="12">
        <v>5</v>
      </c>
      <c r="G16" s="12">
        <v>5</v>
      </c>
      <c r="H16" s="12">
        <v>5</v>
      </c>
      <c r="I16" s="12">
        <v>5</v>
      </c>
      <c r="J16" s="12">
        <v>5</v>
      </c>
      <c r="K16" s="13">
        <f t="shared" si="0"/>
        <v>35</v>
      </c>
      <c r="L16" s="12">
        <v>5</v>
      </c>
      <c r="M16" s="12">
        <v>5</v>
      </c>
      <c r="N16" s="12">
        <v>3</v>
      </c>
      <c r="O16" s="12">
        <v>5</v>
      </c>
      <c r="P16" s="12">
        <v>2</v>
      </c>
      <c r="Q16" s="12">
        <v>4</v>
      </c>
      <c r="R16" s="12">
        <v>4</v>
      </c>
      <c r="S16" s="12">
        <v>5</v>
      </c>
      <c r="T16" s="12">
        <v>5</v>
      </c>
      <c r="U16" s="12">
        <v>5</v>
      </c>
      <c r="V16" s="12">
        <v>5</v>
      </c>
      <c r="W16" s="12">
        <v>3</v>
      </c>
      <c r="X16" s="12">
        <v>2</v>
      </c>
      <c r="Y16" s="12">
        <v>3</v>
      </c>
      <c r="Z16" s="12">
        <v>3</v>
      </c>
      <c r="AA16" s="12">
        <v>3</v>
      </c>
      <c r="AB16" s="13">
        <f t="shared" si="1"/>
        <v>62</v>
      </c>
      <c r="AC16" s="14"/>
    </row>
    <row r="17" ht="94.5" spans="1:29">
      <c r="A17" s="15"/>
      <c r="B17" s="10" t="s">
        <v>57</v>
      </c>
      <c r="C17" s="11" t="s">
        <v>58</v>
      </c>
      <c r="D17" s="12">
        <v>5</v>
      </c>
      <c r="E17" s="12">
        <v>5</v>
      </c>
      <c r="F17" s="12">
        <v>5</v>
      </c>
      <c r="G17" s="12">
        <v>5</v>
      </c>
      <c r="H17" s="12">
        <v>5</v>
      </c>
      <c r="I17" s="12">
        <v>5</v>
      </c>
      <c r="J17" s="12">
        <v>5</v>
      </c>
      <c r="K17" s="13">
        <f t="shared" si="0"/>
        <v>35</v>
      </c>
      <c r="L17" s="12">
        <v>5</v>
      </c>
      <c r="M17" s="12">
        <v>5</v>
      </c>
      <c r="N17" s="12">
        <v>3</v>
      </c>
      <c r="O17" s="12">
        <v>5</v>
      </c>
      <c r="P17" s="12">
        <v>2</v>
      </c>
      <c r="Q17" s="12">
        <v>4</v>
      </c>
      <c r="R17" s="12">
        <v>4</v>
      </c>
      <c r="S17" s="12">
        <v>5</v>
      </c>
      <c r="T17" s="12">
        <v>5</v>
      </c>
      <c r="U17" s="12">
        <v>5</v>
      </c>
      <c r="V17" s="12">
        <v>5</v>
      </c>
      <c r="W17" s="12">
        <v>4</v>
      </c>
      <c r="X17" s="12">
        <v>3</v>
      </c>
      <c r="Y17" s="12">
        <v>4</v>
      </c>
      <c r="Z17" s="12">
        <v>3</v>
      </c>
      <c r="AA17" s="12">
        <v>4</v>
      </c>
      <c r="AB17" s="13">
        <f t="shared" si="1"/>
        <v>66</v>
      </c>
      <c r="AC17" s="14"/>
    </row>
    <row r="18" ht="94.5" spans="1:29">
      <c r="A18" s="15"/>
      <c r="B18" s="10" t="s">
        <v>59</v>
      </c>
      <c r="C18" s="11" t="s">
        <v>60</v>
      </c>
      <c r="D18" s="12">
        <v>5</v>
      </c>
      <c r="E18" s="12">
        <v>5</v>
      </c>
      <c r="F18" s="12">
        <v>5</v>
      </c>
      <c r="G18" s="12">
        <v>5</v>
      </c>
      <c r="H18" s="12">
        <v>5</v>
      </c>
      <c r="I18" s="12">
        <v>5</v>
      </c>
      <c r="J18" s="12">
        <v>5</v>
      </c>
      <c r="K18" s="13">
        <f t="shared" si="0"/>
        <v>35</v>
      </c>
      <c r="L18" s="12">
        <v>5</v>
      </c>
      <c r="M18" s="12">
        <v>5</v>
      </c>
      <c r="N18" s="12">
        <v>3</v>
      </c>
      <c r="O18" s="12">
        <v>5</v>
      </c>
      <c r="P18" s="12">
        <v>2</v>
      </c>
      <c r="Q18" s="12">
        <v>4</v>
      </c>
      <c r="R18" s="12">
        <v>4</v>
      </c>
      <c r="S18" s="12">
        <v>5</v>
      </c>
      <c r="T18" s="12">
        <v>5</v>
      </c>
      <c r="U18" s="12">
        <v>5</v>
      </c>
      <c r="V18" s="12">
        <v>5</v>
      </c>
      <c r="W18" s="12">
        <v>3</v>
      </c>
      <c r="X18" s="12">
        <v>2</v>
      </c>
      <c r="Y18" s="12">
        <v>3</v>
      </c>
      <c r="Z18" s="12">
        <v>3</v>
      </c>
      <c r="AA18" s="12">
        <v>3</v>
      </c>
      <c r="AB18" s="13">
        <f t="shared" si="1"/>
        <v>62</v>
      </c>
      <c r="AC18" s="14"/>
    </row>
    <row r="19" ht="135" spans="1:29">
      <c r="A19" s="15"/>
      <c r="B19" s="10" t="s">
        <v>61</v>
      </c>
      <c r="C19" s="11" t="s">
        <v>62</v>
      </c>
      <c r="D19" s="12">
        <v>4</v>
      </c>
      <c r="E19" s="12">
        <v>5</v>
      </c>
      <c r="F19" s="12">
        <v>5</v>
      </c>
      <c r="G19" s="12">
        <v>5</v>
      </c>
      <c r="H19" s="12">
        <v>5</v>
      </c>
      <c r="I19" s="12">
        <v>5</v>
      </c>
      <c r="J19" s="12">
        <v>5</v>
      </c>
      <c r="K19" s="13">
        <f t="shared" si="0"/>
        <v>34</v>
      </c>
      <c r="L19" s="12">
        <v>4</v>
      </c>
      <c r="M19" s="12">
        <v>5</v>
      </c>
      <c r="N19" s="12">
        <v>3</v>
      </c>
      <c r="O19" s="12">
        <v>5</v>
      </c>
      <c r="P19" s="12">
        <v>3</v>
      </c>
      <c r="Q19" s="12">
        <v>4</v>
      </c>
      <c r="R19" s="12">
        <v>4</v>
      </c>
      <c r="S19" s="12">
        <v>5</v>
      </c>
      <c r="T19" s="12">
        <v>5</v>
      </c>
      <c r="U19" s="12">
        <v>5</v>
      </c>
      <c r="V19" s="12">
        <v>5</v>
      </c>
      <c r="W19" s="12">
        <v>4</v>
      </c>
      <c r="X19" s="12">
        <v>3</v>
      </c>
      <c r="Y19" s="12">
        <v>4</v>
      </c>
      <c r="Z19" s="12">
        <v>3</v>
      </c>
      <c r="AA19" s="12">
        <v>4</v>
      </c>
      <c r="AB19" s="13">
        <f t="shared" si="1"/>
        <v>66</v>
      </c>
      <c r="AC19" s="14"/>
    </row>
    <row r="20" ht="94.5" spans="1:29">
      <c r="A20" s="15"/>
      <c r="B20" s="10" t="s">
        <v>63</v>
      </c>
      <c r="C20" s="11" t="s">
        <v>64</v>
      </c>
      <c r="D20" s="12">
        <v>5</v>
      </c>
      <c r="E20" s="12">
        <v>5</v>
      </c>
      <c r="F20" s="12">
        <v>5</v>
      </c>
      <c r="G20" s="12">
        <v>5</v>
      </c>
      <c r="H20" s="12">
        <v>5</v>
      </c>
      <c r="I20" s="12">
        <v>5</v>
      </c>
      <c r="J20" s="12">
        <v>5</v>
      </c>
      <c r="K20" s="13">
        <f t="shared" si="0"/>
        <v>35</v>
      </c>
      <c r="L20" s="12">
        <v>5</v>
      </c>
      <c r="M20" s="12">
        <v>5</v>
      </c>
      <c r="N20" s="12">
        <v>3</v>
      </c>
      <c r="O20" s="12">
        <v>5</v>
      </c>
      <c r="P20" s="12">
        <v>1</v>
      </c>
      <c r="Q20" s="12">
        <v>4</v>
      </c>
      <c r="R20" s="12">
        <v>4</v>
      </c>
      <c r="S20" s="12">
        <v>5</v>
      </c>
      <c r="T20" s="12">
        <v>5</v>
      </c>
      <c r="U20" s="12">
        <v>5</v>
      </c>
      <c r="V20" s="12">
        <v>5</v>
      </c>
      <c r="W20" s="12">
        <v>3</v>
      </c>
      <c r="X20" s="12">
        <v>2</v>
      </c>
      <c r="Y20" s="12">
        <v>3</v>
      </c>
      <c r="Z20" s="12">
        <v>3</v>
      </c>
      <c r="AA20" s="12">
        <v>3</v>
      </c>
      <c r="AB20" s="13">
        <f t="shared" si="1"/>
        <v>61</v>
      </c>
      <c r="AC20" s="14"/>
    </row>
    <row r="21" ht="121.5" spans="1:29">
      <c r="A21" s="15"/>
      <c r="B21" s="10" t="s">
        <v>65</v>
      </c>
      <c r="C21" s="11" t="s">
        <v>66</v>
      </c>
      <c r="D21" s="12">
        <v>4</v>
      </c>
      <c r="E21" s="12">
        <v>5</v>
      </c>
      <c r="F21" s="12">
        <v>5</v>
      </c>
      <c r="G21" s="12">
        <v>5</v>
      </c>
      <c r="H21" s="12">
        <v>5</v>
      </c>
      <c r="I21" s="12">
        <v>5</v>
      </c>
      <c r="J21" s="12">
        <v>5</v>
      </c>
      <c r="K21" s="13">
        <f t="shared" si="0"/>
        <v>34</v>
      </c>
      <c r="L21" s="12">
        <v>5</v>
      </c>
      <c r="M21" s="12">
        <v>5</v>
      </c>
      <c r="N21" s="12">
        <v>3</v>
      </c>
      <c r="O21" s="12">
        <v>5</v>
      </c>
      <c r="P21" s="12">
        <v>3</v>
      </c>
      <c r="Q21" s="12">
        <v>4</v>
      </c>
      <c r="R21" s="12">
        <v>4</v>
      </c>
      <c r="S21" s="12">
        <v>5</v>
      </c>
      <c r="T21" s="12">
        <v>5</v>
      </c>
      <c r="U21" s="12">
        <v>5</v>
      </c>
      <c r="V21" s="12">
        <v>5</v>
      </c>
      <c r="W21" s="12">
        <v>4</v>
      </c>
      <c r="X21" s="12">
        <v>3</v>
      </c>
      <c r="Y21" s="12">
        <v>4</v>
      </c>
      <c r="Z21" s="12">
        <v>3</v>
      </c>
      <c r="AA21" s="12">
        <v>4</v>
      </c>
      <c r="AB21" s="13">
        <f t="shared" ref="AB21:AB52" si="2">SUM(L21:AA21)</f>
        <v>67</v>
      </c>
      <c r="AC21" s="14"/>
    </row>
    <row r="22" ht="108" spans="1:29">
      <c r="A22" s="15"/>
      <c r="B22" s="10" t="s">
        <v>67</v>
      </c>
      <c r="C22" s="11" t="s">
        <v>68</v>
      </c>
      <c r="D22" s="12">
        <v>5</v>
      </c>
      <c r="E22" s="12">
        <v>5</v>
      </c>
      <c r="F22" s="12">
        <v>5</v>
      </c>
      <c r="G22" s="12">
        <v>5</v>
      </c>
      <c r="H22" s="12">
        <v>5</v>
      </c>
      <c r="I22" s="12">
        <v>5</v>
      </c>
      <c r="J22" s="12">
        <v>5</v>
      </c>
      <c r="K22" s="13">
        <f t="shared" si="0"/>
        <v>35</v>
      </c>
      <c r="L22" s="12">
        <v>5</v>
      </c>
      <c r="M22" s="12">
        <v>5</v>
      </c>
      <c r="N22" s="12">
        <v>3</v>
      </c>
      <c r="O22" s="12">
        <v>5</v>
      </c>
      <c r="P22" s="12">
        <v>1</v>
      </c>
      <c r="Q22" s="12">
        <v>4</v>
      </c>
      <c r="R22" s="12">
        <v>4</v>
      </c>
      <c r="S22" s="12">
        <v>5</v>
      </c>
      <c r="T22" s="12">
        <v>5</v>
      </c>
      <c r="U22" s="12">
        <v>5</v>
      </c>
      <c r="V22" s="12">
        <v>5</v>
      </c>
      <c r="W22" s="12">
        <v>2</v>
      </c>
      <c r="X22" s="12">
        <v>2</v>
      </c>
      <c r="Y22" s="12">
        <v>3</v>
      </c>
      <c r="Z22" s="12">
        <v>3</v>
      </c>
      <c r="AA22" s="12">
        <v>3</v>
      </c>
      <c r="AB22" s="13">
        <f t="shared" si="2"/>
        <v>60</v>
      </c>
      <c r="AC22" s="14"/>
    </row>
    <row r="23" ht="94.5" spans="1:29">
      <c r="A23" s="15"/>
      <c r="B23" s="10" t="s">
        <v>69</v>
      </c>
      <c r="C23" s="11" t="s">
        <v>70</v>
      </c>
      <c r="D23" s="12">
        <v>5</v>
      </c>
      <c r="E23" s="12">
        <v>5</v>
      </c>
      <c r="F23" s="12">
        <v>5</v>
      </c>
      <c r="G23" s="12">
        <v>5</v>
      </c>
      <c r="H23" s="12">
        <v>5</v>
      </c>
      <c r="I23" s="12">
        <v>5</v>
      </c>
      <c r="J23" s="12">
        <v>4</v>
      </c>
      <c r="K23" s="13">
        <f t="shared" si="0"/>
        <v>34</v>
      </c>
      <c r="L23" s="12">
        <v>5</v>
      </c>
      <c r="M23" s="12">
        <v>5</v>
      </c>
      <c r="N23" s="12">
        <v>3</v>
      </c>
      <c r="O23" s="12">
        <v>5</v>
      </c>
      <c r="P23" s="12">
        <v>1</v>
      </c>
      <c r="Q23" s="12">
        <v>4</v>
      </c>
      <c r="R23" s="12">
        <v>4</v>
      </c>
      <c r="S23" s="12">
        <v>5</v>
      </c>
      <c r="T23" s="12">
        <v>5</v>
      </c>
      <c r="U23" s="12">
        <v>5</v>
      </c>
      <c r="V23" s="12">
        <v>5</v>
      </c>
      <c r="W23" s="12">
        <v>2</v>
      </c>
      <c r="X23" s="12">
        <v>2</v>
      </c>
      <c r="Y23" s="12">
        <v>3</v>
      </c>
      <c r="Z23" s="12">
        <v>3</v>
      </c>
      <c r="AA23" s="12">
        <v>3</v>
      </c>
      <c r="AB23" s="13">
        <f t="shared" si="2"/>
        <v>60</v>
      </c>
      <c r="AC23" s="14"/>
    </row>
    <row r="24" ht="94.5" spans="1:29">
      <c r="A24" s="15"/>
      <c r="B24" s="10" t="s">
        <v>71</v>
      </c>
      <c r="C24" s="11" t="s">
        <v>72</v>
      </c>
      <c r="D24" s="12">
        <v>5</v>
      </c>
      <c r="E24" s="12">
        <v>5</v>
      </c>
      <c r="F24" s="12">
        <v>5</v>
      </c>
      <c r="G24" s="12">
        <v>5</v>
      </c>
      <c r="H24" s="12">
        <v>5</v>
      </c>
      <c r="I24" s="12">
        <v>5</v>
      </c>
      <c r="J24" s="12">
        <v>5</v>
      </c>
      <c r="K24" s="13">
        <f t="shared" si="0"/>
        <v>35</v>
      </c>
      <c r="L24" s="12">
        <v>5</v>
      </c>
      <c r="M24" s="12">
        <v>5</v>
      </c>
      <c r="N24" s="12">
        <v>3</v>
      </c>
      <c r="O24" s="12">
        <v>5</v>
      </c>
      <c r="P24" s="12">
        <v>3</v>
      </c>
      <c r="Q24" s="12">
        <v>5</v>
      </c>
      <c r="R24" s="12">
        <v>4</v>
      </c>
      <c r="S24" s="12">
        <v>5</v>
      </c>
      <c r="T24" s="12">
        <v>5</v>
      </c>
      <c r="U24" s="12">
        <v>5</v>
      </c>
      <c r="V24" s="12">
        <v>5</v>
      </c>
      <c r="W24" s="12">
        <v>2</v>
      </c>
      <c r="X24" s="12">
        <v>2</v>
      </c>
      <c r="Y24" s="12">
        <v>4</v>
      </c>
      <c r="Z24" s="12">
        <v>3</v>
      </c>
      <c r="AA24" s="12">
        <v>4</v>
      </c>
      <c r="AB24" s="13">
        <f t="shared" si="2"/>
        <v>65</v>
      </c>
      <c r="AC24" s="14"/>
    </row>
    <row r="25" ht="195" customHeight="1" spans="1:29">
      <c r="A25" s="15"/>
      <c r="B25" s="10" t="s">
        <v>73</v>
      </c>
      <c r="C25" s="11" t="s">
        <v>74</v>
      </c>
      <c r="D25" s="12">
        <v>5</v>
      </c>
      <c r="E25" s="12">
        <v>5</v>
      </c>
      <c r="F25" s="12">
        <v>5</v>
      </c>
      <c r="G25" s="12">
        <v>5</v>
      </c>
      <c r="H25" s="12">
        <v>5</v>
      </c>
      <c r="I25" s="12">
        <v>5</v>
      </c>
      <c r="J25" s="12">
        <v>4</v>
      </c>
      <c r="K25" s="13">
        <f t="shared" si="0"/>
        <v>34</v>
      </c>
      <c r="L25" s="12">
        <v>5</v>
      </c>
      <c r="M25" s="12">
        <v>5</v>
      </c>
      <c r="N25" s="12">
        <v>3</v>
      </c>
      <c r="O25" s="12">
        <v>5</v>
      </c>
      <c r="P25" s="12">
        <v>2</v>
      </c>
      <c r="Q25" s="12">
        <v>5</v>
      </c>
      <c r="R25" s="12">
        <v>4</v>
      </c>
      <c r="S25" s="12">
        <v>5</v>
      </c>
      <c r="T25" s="12">
        <v>5</v>
      </c>
      <c r="U25" s="12">
        <v>5</v>
      </c>
      <c r="V25" s="12">
        <v>5</v>
      </c>
      <c r="W25" s="12">
        <v>3</v>
      </c>
      <c r="X25" s="12">
        <v>2</v>
      </c>
      <c r="Y25" s="12">
        <v>3</v>
      </c>
      <c r="Z25" s="12">
        <v>3</v>
      </c>
      <c r="AA25" s="12">
        <v>3</v>
      </c>
      <c r="AB25" s="13">
        <f t="shared" si="2"/>
        <v>63</v>
      </c>
      <c r="AC25" s="14"/>
    </row>
    <row r="26" ht="208" customHeight="1" spans="1:29">
      <c r="A26" s="15"/>
      <c r="B26" s="10" t="s">
        <v>75</v>
      </c>
      <c r="C26" s="11" t="s">
        <v>76</v>
      </c>
      <c r="D26" s="12">
        <v>5</v>
      </c>
      <c r="E26" s="12">
        <v>5</v>
      </c>
      <c r="F26" s="12">
        <v>5</v>
      </c>
      <c r="G26" s="12">
        <v>5</v>
      </c>
      <c r="H26" s="12">
        <v>5</v>
      </c>
      <c r="I26" s="12">
        <v>5</v>
      </c>
      <c r="J26" s="12">
        <v>4</v>
      </c>
      <c r="K26" s="13">
        <f t="shared" si="0"/>
        <v>34</v>
      </c>
      <c r="L26" s="12">
        <v>5</v>
      </c>
      <c r="M26" s="12">
        <v>5</v>
      </c>
      <c r="N26" s="12">
        <v>3</v>
      </c>
      <c r="O26" s="12">
        <v>5</v>
      </c>
      <c r="P26" s="12">
        <v>3</v>
      </c>
      <c r="Q26" s="12">
        <v>5</v>
      </c>
      <c r="R26" s="12">
        <v>4</v>
      </c>
      <c r="S26" s="12">
        <v>5</v>
      </c>
      <c r="T26" s="12">
        <v>5</v>
      </c>
      <c r="U26" s="12">
        <v>5</v>
      </c>
      <c r="V26" s="12">
        <v>5</v>
      </c>
      <c r="W26" s="12">
        <v>3</v>
      </c>
      <c r="X26" s="12">
        <v>3</v>
      </c>
      <c r="Y26" s="12">
        <v>4</v>
      </c>
      <c r="Z26" s="12">
        <v>3</v>
      </c>
      <c r="AA26" s="12">
        <v>4</v>
      </c>
      <c r="AB26" s="13">
        <f t="shared" si="2"/>
        <v>67</v>
      </c>
      <c r="AC26" s="14"/>
    </row>
    <row r="27" ht="131" customHeight="1" spans="1:29">
      <c r="A27" s="15"/>
      <c r="B27" s="10" t="s">
        <v>77</v>
      </c>
      <c r="C27" s="11" t="s">
        <v>78</v>
      </c>
      <c r="D27" s="12">
        <v>5</v>
      </c>
      <c r="E27" s="12">
        <v>5</v>
      </c>
      <c r="F27" s="12">
        <v>5</v>
      </c>
      <c r="G27" s="12">
        <v>5</v>
      </c>
      <c r="H27" s="12">
        <v>5</v>
      </c>
      <c r="I27" s="12">
        <v>5</v>
      </c>
      <c r="J27" s="12">
        <v>5</v>
      </c>
      <c r="K27" s="13">
        <f t="shared" si="0"/>
        <v>35</v>
      </c>
      <c r="L27" s="12">
        <v>5</v>
      </c>
      <c r="M27" s="12">
        <v>5</v>
      </c>
      <c r="N27" s="12">
        <v>2</v>
      </c>
      <c r="O27" s="12">
        <v>5</v>
      </c>
      <c r="P27" s="12">
        <v>1</v>
      </c>
      <c r="Q27" s="12">
        <v>5</v>
      </c>
      <c r="R27" s="12">
        <v>4</v>
      </c>
      <c r="S27" s="12">
        <v>5</v>
      </c>
      <c r="T27" s="12">
        <v>5</v>
      </c>
      <c r="U27" s="12">
        <v>5</v>
      </c>
      <c r="V27" s="12">
        <v>5</v>
      </c>
      <c r="W27" s="12">
        <v>4</v>
      </c>
      <c r="X27" s="12">
        <v>2</v>
      </c>
      <c r="Y27" s="12">
        <v>3</v>
      </c>
      <c r="Z27" s="12">
        <v>3</v>
      </c>
      <c r="AA27" s="12">
        <v>3</v>
      </c>
      <c r="AB27" s="13">
        <f t="shared" si="2"/>
        <v>62</v>
      </c>
      <c r="AC27" s="14"/>
    </row>
    <row r="28" ht="216" spans="1:29">
      <c r="A28" s="9" t="s">
        <v>79</v>
      </c>
      <c r="B28" s="10" t="s">
        <v>80</v>
      </c>
      <c r="C28" s="11" t="s">
        <v>81</v>
      </c>
      <c r="D28" s="12">
        <v>5</v>
      </c>
      <c r="E28" s="12">
        <v>5</v>
      </c>
      <c r="F28" s="12">
        <v>5</v>
      </c>
      <c r="G28" s="12">
        <v>5</v>
      </c>
      <c r="H28" s="12">
        <v>5</v>
      </c>
      <c r="I28" s="12">
        <v>5</v>
      </c>
      <c r="J28" s="12">
        <v>5</v>
      </c>
      <c r="K28" s="13">
        <f t="shared" si="0"/>
        <v>35</v>
      </c>
      <c r="L28" s="12">
        <v>5</v>
      </c>
      <c r="M28" s="12">
        <v>5</v>
      </c>
      <c r="N28" s="12">
        <v>2</v>
      </c>
      <c r="O28" s="12">
        <v>5</v>
      </c>
      <c r="P28" s="12">
        <v>2</v>
      </c>
      <c r="Q28" s="12">
        <v>5</v>
      </c>
      <c r="R28" s="12">
        <v>4</v>
      </c>
      <c r="S28" s="12">
        <v>5</v>
      </c>
      <c r="T28" s="12">
        <v>5</v>
      </c>
      <c r="U28" s="12">
        <v>5</v>
      </c>
      <c r="V28" s="12">
        <v>5</v>
      </c>
      <c r="W28" s="12">
        <v>4</v>
      </c>
      <c r="X28" s="12">
        <v>3</v>
      </c>
      <c r="Y28" s="12">
        <v>4</v>
      </c>
      <c r="Z28" s="12">
        <v>3</v>
      </c>
      <c r="AA28" s="12">
        <v>4</v>
      </c>
      <c r="AB28" s="13">
        <f t="shared" si="2"/>
        <v>66</v>
      </c>
      <c r="AC28" s="14"/>
    </row>
    <row r="29" ht="108" spans="1:29">
      <c r="A29" s="15"/>
      <c r="B29" s="10" t="s">
        <v>82</v>
      </c>
      <c r="C29" s="11" t="s">
        <v>83</v>
      </c>
      <c r="D29" s="12">
        <v>5</v>
      </c>
      <c r="E29" s="12">
        <v>5</v>
      </c>
      <c r="F29" s="12">
        <v>5</v>
      </c>
      <c r="G29" s="12">
        <v>5</v>
      </c>
      <c r="H29" s="12">
        <v>5</v>
      </c>
      <c r="I29" s="12">
        <v>5</v>
      </c>
      <c r="J29" s="12">
        <v>4</v>
      </c>
      <c r="K29" s="13">
        <f t="shared" si="0"/>
        <v>34</v>
      </c>
      <c r="L29" s="12">
        <v>5</v>
      </c>
      <c r="M29" s="12">
        <v>5</v>
      </c>
      <c r="N29" s="12">
        <v>3</v>
      </c>
      <c r="O29" s="12">
        <v>5</v>
      </c>
      <c r="P29" s="12">
        <v>3</v>
      </c>
      <c r="Q29" s="12">
        <v>5</v>
      </c>
      <c r="R29" s="12">
        <v>4</v>
      </c>
      <c r="S29" s="12">
        <v>5</v>
      </c>
      <c r="T29" s="12">
        <v>5</v>
      </c>
      <c r="U29" s="12">
        <v>5</v>
      </c>
      <c r="V29" s="12">
        <v>5</v>
      </c>
      <c r="W29" s="12">
        <v>4</v>
      </c>
      <c r="X29" s="12">
        <v>3</v>
      </c>
      <c r="Y29" s="12">
        <v>4</v>
      </c>
      <c r="Z29" s="12">
        <v>3</v>
      </c>
      <c r="AA29" s="12">
        <v>4</v>
      </c>
      <c r="AB29" s="13">
        <f t="shared" si="2"/>
        <v>68</v>
      </c>
      <c r="AC29" s="14"/>
    </row>
    <row r="30" ht="135" spans="1:29">
      <c r="A30" s="15"/>
      <c r="B30" s="10" t="s">
        <v>84</v>
      </c>
      <c r="C30" s="11" t="s">
        <v>85</v>
      </c>
      <c r="D30" s="12">
        <v>5</v>
      </c>
      <c r="E30" s="12">
        <v>5</v>
      </c>
      <c r="F30" s="12">
        <v>5</v>
      </c>
      <c r="G30" s="12">
        <v>5</v>
      </c>
      <c r="H30" s="12">
        <v>5</v>
      </c>
      <c r="I30" s="12">
        <v>5</v>
      </c>
      <c r="J30" s="12">
        <v>5</v>
      </c>
      <c r="K30" s="13">
        <f t="shared" si="0"/>
        <v>35</v>
      </c>
      <c r="L30" s="12">
        <v>5</v>
      </c>
      <c r="M30" s="12">
        <v>5</v>
      </c>
      <c r="N30" s="12">
        <v>3</v>
      </c>
      <c r="O30" s="12">
        <v>5</v>
      </c>
      <c r="P30" s="12">
        <v>3</v>
      </c>
      <c r="Q30" s="12">
        <v>5</v>
      </c>
      <c r="R30" s="12">
        <v>4</v>
      </c>
      <c r="S30" s="12">
        <v>5</v>
      </c>
      <c r="T30" s="12">
        <v>5</v>
      </c>
      <c r="U30" s="12">
        <v>5</v>
      </c>
      <c r="V30" s="12">
        <v>5</v>
      </c>
      <c r="W30" s="12">
        <v>4</v>
      </c>
      <c r="X30" s="12">
        <v>3</v>
      </c>
      <c r="Y30" s="12">
        <v>4</v>
      </c>
      <c r="Z30" s="12">
        <v>3</v>
      </c>
      <c r="AA30" s="12">
        <v>4</v>
      </c>
      <c r="AB30" s="13">
        <f t="shared" si="2"/>
        <v>68</v>
      </c>
      <c r="AC30" s="14"/>
    </row>
    <row r="31" ht="135" spans="1:29">
      <c r="A31" s="15"/>
      <c r="B31" s="10" t="s">
        <v>86</v>
      </c>
      <c r="C31" s="11" t="s">
        <v>87</v>
      </c>
      <c r="D31" s="12">
        <v>5</v>
      </c>
      <c r="E31" s="12">
        <v>5</v>
      </c>
      <c r="F31" s="12">
        <v>5</v>
      </c>
      <c r="G31" s="12">
        <v>5</v>
      </c>
      <c r="H31" s="12">
        <v>5</v>
      </c>
      <c r="I31" s="12">
        <v>5</v>
      </c>
      <c r="J31" s="12">
        <v>4</v>
      </c>
      <c r="K31" s="13">
        <f t="shared" si="0"/>
        <v>34</v>
      </c>
      <c r="L31" s="12">
        <v>5</v>
      </c>
      <c r="M31" s="12">
        <v>5</v>
      </c>
      <c r="N31" s="12">
        <v>3</v>
      </c>
      <c r="O31" s="12">
        <v>5</v>
      </c>
      <c r="P31" s="12">
        <v>3</v>
      </c>
      <c r="Q31" s="12">
        <v>5</v>
      </c>
      <c r="R31" s="12">
        <v>4</v>
      </c>
      <c r="S31" s="12">
        <v>5</v>
      </c>
      <c r="T31" s="12">
        <v>5</v>
      </c>
      <c r="U31" s="12">
        <v>5</v>
      </c>
      <c r="V31" s="12">
        <v>5</v>
      </c>
      <c r="W31" s="12">
        <v>3</v>
      </c>
      <c r="X31" s="12">
        <v>3</v>
      </c>
      <c r="Y31" s="12">
        <v>4</v>
      </c>
      <c r="Z31" s="12">
        <v>3</v>
      </c>
      <c r="AA31" s="12">
        <v>4</v>
      </c>
      <c r="AB31" s="13">
        <f t="shared" si="2"/>
        <v>67</v>
      </c>
      <c r="AC31" s="13"/>
    </row>
    <row r="32" ht="162" spans="1:29">
      <c r="A32" s="15"/>
      <c r="B32" s="10" t="s">
        <v>88</v>
      </c>
      <c r="C32" s="11" t="s">
        <v>89</v>
      </c>
      <c r="D32" s="12">
        <v>5</v>
      </c>
      <c r="E32" s="12">
        <v>5</v>
      </c>
      <c r="F32" s="12">
        <v>5</v>
      </c>
      <c r="G32" s="12">
        <v>5</v>
      </c>
      <c r="H32" s="12">
        <v>5</v>
      </c>
      <c r="I32" s="12">
        <v>5</v>
      </c>
      <c r="J32" s="12">
        <v>5</v>
      </c>
      <c r="K32" s="13">
        <f t="shared" si="0"/>
        <v>35</v>
      </c>
      <c r="L32" s="12">
        <v>5</v>
      </c>
      <c r="M32" s="12">
        <v>5</v>
      </c>
      <c r="N32" s="12">
        <v>2</v>
      </c>
      <c r="O32" s="12">
        <v>5</v>
      </c>
      <c r="P32" s="12">
        <v>2</v>
      </c>
      <c r="Q32" s="12">
        <v>5</v>
      </c>
      <c r="R32" s="12">
        <v>4</v>
      </c>
      <c r="S32" s="12">
        <v>5</v>
      </c>
      <c r="T32" s="12">
        <v>5</v>
      </c>
      <c r="U32" s="12">
        <v>5</v>
      </c>
      <c r="V32" s="12">
        <v>5</v>
      </c>
      <c r="W32" s="12">
        <v>3</v>
      </c>
      <c r="X32" s="12">
        <v>3</v>
      </c>
      <c r="Y32" s="12">
        <v>4</v>
      </c>
      <c r="Z32" s="12">
        <v>3</v>
      </c>
      <c r="AA32" s="12">
        <v>4</v>
      </c>
      <c r="AB32" s="13">
        <f t="shared" si="2"/>
        <v>65</v>
      </c>
      <c r="AC32" s="14"/>
    </row>
    <row r="33" ht="162" spans="1:29">
      <c r="A33" s="15"/>
      <c r="B33" s="10" t="s">
        <v>90</v>
      </c>
      <c r="C33" s="11" t="s">
        <v>91</v>
      </c>
      <c r="D33" s="12">
        <v>5</v>
      </c>
      <c r="E33" s="12">
        <v>5</v>
      </c>
      <c r="F33" s="12">
        <v>5</v>
      </c>
      <c r="G33" s="12">
        <v>5</v>
      </c>
      <c r="H33" s="12">
        <v>5</v>
      </c>
      <c r="I33" s="12">
        <v>5</v>
      </c>
      <c r="J33" s="12">
        <v>5</v>
      </c>
      <c r="K33" s="13">
        <f t="shared" si="0"/>
        <v>35</v>
      </c>
      <c r="L33" s="12">
        <v>5</v>
      </c>
      <c r="M33" s="12">
        <v>5</v>
      </c>
      <c r="N33" s="12">
        <v>2</v>
      </c>
      <c r="O33" s="12">
        <v>5</v>
      </c>
      <c r="P33" s="12">
        <v>3</v>
      </c>
      <c r="Q33" s="12">
        <v>5</v>
      </c>
      <c r="R33" s="12">
        <v>4</v>
      </c>
      <c r="S33" s="12">
        <v>5</v>
      </c>
      <c r="T33" s="12">
        <v>5</v>
      </c>
      <c r="U33" s="12">
        <v>5</v>
      </c>
      <c r="V33" s="12">
        <v>5</v>
      </c>
      <c r="W33" s="12">
        <v>2</v>
      </c>
      <c r="X33" s="12">
        <v>3</v>
      </c>
      <c r="Y33" s="12">
        <v>4</v>
      </c>
      <c r="Z33" s="12">
        <v>3</v>
      </c>
      <c r="AA33" s="12">
        <v>4</v>
      </c>
      <c r="AB33" s="13">
        <f t="shared" si="2"/>
        <v>65</v>
      </c>
      <c r="AC33" s="14"/>
    </row>
    <row r="34" ht="175.5" spans="1:29">
      <c r="A34" s="15"/>
      <c r="B34" s="10" t="s">
        <v>92</v>
      </c>
      <c r="C34" s="11" t="s">
        <v>93</v>
      </c>
      <c r="D34" s="12">
        <v>5</v>
      </c>
      <c r="E34" s="12">
        <v>5</v>
      </c>
      <c r="F34" s="12">
        <v>5</v>
      </c>
      <c r="G34" s="12">
        <v>5</v>
      </c>
      <c r="H34" s="12">
        <v>5</v>
      </c>
      <c r="I34" s="12">
        <v>5</v>
      </c>
      <c r="J34" s="12">
        <v>5</v>
      </c>
      <c r="K34" s="13">
        <f t="shared" si="0"/>
        <v>35</v>
      </c>
      <c r="L34" s="12">
        <v>5</v>
      </c>
      <c r="M34" s="12">
        <v>5</v>
      </c>
      <c r="N34" s="12">
        <v>2</v>
      </c>
      <c r="O34" s="12">
        <v>5</v>
      </c>
      <c r="P34" s="12">
        <v>3</v>
      </c>
      <c r="Q34" s="12">
        <v>5</v>
      </c>
      <c r="R34" s="12">
        <v>4</v>
      </c>
      <c r="S34" s="12">
        <v>5</v>
      </c>
      <c r="T34" s="12">
        <v>5</v>
      </c>
      <c r="U34" s="12">
        <v>5</v>
      </c>
      <c r="V34" s="12">
        <v>5</v>
      </c>
      <c r="W34" s="12">
        <v>2</v>
      </c>
      <c r="X34" s="12">
        <v>3</v>
      </c>
      <c r="Y34" s="12">
        <v>4</v>
      </c>
      <c r="Z34" s="12">
        <v>3</v>
      </c>
      <c r="AA34" s="12">
        <v>4</v>
      </c>
      <c r="AB34" s="13">
        <f t="shared" si="2"/>
        <v>65</v>
      </c>
      <c r="AC34" s="14"/>
    </row>
    <row r="35" ht="162" spans="1:29">
      <c r="A35" s="15"/>
      <c r="B35" s="10" t="s">
        <v>94</v>
      </c>
      <c r="C35" s="11" t="s">
        <v>95</v>
      </c>
      <c r="D35" s="12">
        <v>5</v>
      </c>
      <c r="E35" s="12">
        <v>5</v>
      </c>
      <c r="F35" s="12">
        <v>5</v>
      </c>
      <c r="G35" s="12">
        <v>5</v>
      </c>
      <c r="H35" s="12">
        <v>5</v>
      </c>
      <c r="I35" s="12">
        <v>5</v>
      </c>
      <c r="J35" s="12">
        <v>5</v>
      </c>
      <c r="K35" s="13">
        <f t="shared" si="0"/>
        <v>35</v>
      </c>
      <c r="L35" s="12">
        <v>5</v>
      </c>
      <c r="M35" s="12">
        <v>5</v>
      </c>
      <c r="N35" s="12">
        <v>2</v>
      </c>
      <c r="O35" s="12">
        <v>5</v>
      </c>
      <c r="P35" s="12">
        <v>3</v>
      </c>
      <c r="Q35" s="12">
        <v>5</v>
      </c>
      <c r="R35" s="12">
        <v>4</v>
      </c>
      <c r="S35" s="12">
        <v>5</v>
      </c>
      <c r="T35" s="12">
        <v>5</v>
      </c>
      <c r="U35" s="12">
        <v>5</v>
      </c>
      <c r="V35" s="12">
        <v>5</v>
      </c>
      <c r="W35" s="12">
        <v>2</v>
      </c>
      <c r="X35" s="12">
        <v>2</v>
      </c>
      <c r="Y35" s="12">
        <v>4</v>
      </c>
      <c r="Z35" s="12">
        <v>3</v>
      </c>
      <c r="AA35" s="12">
        <v>4</v>
      </c>
      <c r="AB35" s="13">
        <f t="shared" si="2"/>
        <v>64</v>
      </c>
      <c r="AC35" s="14"/>
    </row>
    <row r="36" ht="279" customHeight="1" spans="1:29">
      <c r="A36" s="15"/>
      <c r="B36" s="10" t="s">
        <v>96</v>
      </c>
      <c r="C36" s="11" t="s">
        <v>97</v>
      </c>
      <c r="D36" s="12">
        <v>5</v>
      </c>
      <c r="E36" s="12">
        <v>5</v>
      </c>
      <c r="F36" s="12">
        <v>5</v>
      </c>
      <c r="G36" s="12">
        <v>5</v>
      </c>
      <c r="H36" s="12">
        <v>5</v>
      </c>
      <c r="I36" s="12">
        <v>5</v>
      </c>
      <c r="J36" s="12">
        <v>5</v>
      </c>
      <c r="K36" s="13">
        <f t="shared" si="0"/>
        <v>35</v>
      </c>
      <c r="L36" s="12">
        <v>5</v>
      </c>
      <c r="M36" s="12">
        <v>5</v>
      </c>
      <c r="N36" s="12">
        <v>2</v>
      </c>
      <c r="O36" s="12">
        <v>5</v>
      </c>
      <c r="P36" s="12">
        <v>3</v>
      </c>
      <c r="Q36" s="12">
        <v>5</v>
      </c>
      <c r="R36" s="12">
        <v>4</v>
      </c>
      <c r="S36" s="12">
        <v>5</v>
      </c>
      <c r="T36" s="12">
        <v>5</v>
      </c>
      <c r="U36" s="12">
        <v>5</v>
      </c>
      <c r="V36" s="12">
        <v>5</v>
      </c>
      <c r="W36" s="12">
        <v>2</v>
      </c>
      <c r="X36" s="12">
        <v>2</v>
      </c>
      <c r="Y36" s="12">
        <v>4</v>
      </c>
      <c r="Z36" s="12">
        <v>3</v>
      </c>
      <c r="AA36" s="12">
        <v>4</v>
      </c>
      <c r="AB36" s="13">
        <f t="shared" si="2"/>
        <v>64</v>
      </c>
      <c r="AC36" s="14"/>
    </row>
    <row r="37" ht="175.5" spans="1:29">
      <c r="A37" s="15"/>
      <c r="B37" s="10" t="s">
        <v>98</v>
      </c>
      <c r="C37" s="11" t="s">
        <v>99</v>
      </c>
      <c r="D37" s="12">
        <v>5</v>
      </c>
      <c r="E37" s="12">
        <v>5</v>
      </c>
      <c r="F37" s="12">
        <v>5</v>
      </c>
      <c r="G37" s="12">
        <v>5</v>
      </c>
      <c r="H37" s="12">
        <v>5</v>
      </c>
      <c r="I37" s="12">
        <v>5</v>
      </c>
      <c r="J37" s="12">
        <v>5</v>
      </c>
      <c r="K37" s="13">
        <f t="shared" si="0"/>
        <v>35</v>
      </c>
      <c r="L37" s="12">
        <v>5</v>
      </c>
      <c r="M37" s="12">
        <v>5</v>
      </c>
      <c r="N37" s="12">
        <v>2</v>
      </c>
      <c r="O37" s="12">
        <v>5</v>
      </c>
      <c r="P37" s="12">
        <v>3</v>
      </c>
      <c r="Q37" s="12">
        <v>5</v>
      </c>
      <c r="R37" s="12">
        <v>4</v>
      </c>
      <c r="S37" s="12">
        <v>5</v>
      </c>
      <c r="T37" s="12">
        <v>5</v>
      </c>
      <c r="U37" s="12">
        <v>5</v>
      </c>
      <c r="V37" s="12">
        <v>5</v>
      </c>
      <c r="W37" s="12">
        <v>2</v>
      </c>
      <c r="X37" s="12">
        <v>3</v>
      </c>
      <c r="Y37" s="12">
        <v>4</v>
      </c>
      <c r="Z37" s="12">
        <v>3</v>
      </c>
      <c r="AA37" s="12">
        <v>4</v>
      </c>
      <c r="AB37" s="13">
        <f t="shared" si="2"/>
        <v>65</v>
      </c>
      <c r="AC37" s="14"/>
    </row>
    <row r="38" ht="121.5" spans="1:29">
      <c r="A38" s="15"/>
      <c r="B38" s="10" t="s">
        <v>100</v>
      </c>
      <c r="C38" s="11" t="s">
        <v>101</v>
      </c>
      <c r="D38" s="12">
        <v>5</v>
      </c>
      <c r="E38" s="12">
        <v>5</v>
      </c>
      <c r="F38" s="12">
        <v>5</v>
      </c>
      <c r="G38" s="12">
        <v>5</v>
      </c>
      <c r="H38" s="12">
        <v>5</v>
      </c>
      <c r="I38" s="12">
        <v>5</v>
      </c>
      <c r="J38" s="12">
        <v>5</v>
      </c>
      <c r="K38" s="13">
        <f t="shared" si="0"/>
        <v>35</v>
      </c>
      <c r="L38" s="12">
        <v>5</v>
      </c>
      <c r="M38" s="12">
        <v>5</v>
      </c>
      <c r="N38" s="12">
        <v>3</v>
      </c>
      <c r="O38" s="12">
        <v>5</v>
      </c>
      <c r="P38" s="12">
        <v>3</v>
      </c>
      <c r="Q38" s="12">
        <v>5</v>
      </c>
      <c r="R38" s="12">
        <v>4</v>
      </c>
      <c r="S38" s="12">
        <v>5</v>
      </c>
      <c r="T38" s="12">
        <v>5</v>
      </c>
      <c r="U38" s="12">
        <v>5</v>
      </c>
      <c r="V38" s="12">
        <v>5</v>
      </c>
      <c r="W38" s="12">
        <v>4</v>
      </c>
      <c r="X38" s="12">
        <v>3</v>
      </c>
      <c r="Y38" s="12">
        <v>4</v>
      </c>
      <c r="Z38" s="12">
        <v>3</v>
      </c>
      <c r="AA38" s="12">
        <v>4</v>
      </c>
      <c r="AB38" s="13">
        <f t="shared" si="2"/>
        <v>68</v>
      </c>
      <c r="AC38" s="14"/>
    </row>
    <row r="39" ht="182" customHeight="1" spans="1:29">
      <c r="A39" s="15"/>
      <c r="B39" s="10" t="s">
        <v>102</v>
      </c>
      <c r="C39" s="11" t="s">
        <v>103</v>
      </c>
      <c r="D39" s="12">
        <v>5</v>
      </c>
      <c r="E39" s="12">
        <v>5</v>
      </c>
      <c r="F39" s="12">
        <v>5</v>
      </c>
      <c r="G39" s="12">
        <v>5</v>
      </c>
      <c r="H39" s="12">
        <v>5</v>
      </c>
      <c r="I39" s="12">
        <v>5</v>
      </c>
      <c r="J39" s="12">
        <v>5</v>
      </c>
      <c r="K39" s="13">
        <f t="shared" si="0"/>
        <v>35</v>
      </c>
      <c r="L39" s="12">
        <v>5</v>
      </c>
      <c r="M39" s="12">
        <v>5</v>
      </c>
      <c r="N39" s="12">
        <v>3</v>
      </c>
      <c r="O39" s="12">
        <v>5</v>
      </c>
      <c r="P39" s="12">
        <v>3</v>
      </c>
      <c r="Q39" s="12">
        <v>5</v>
      </c>
      <c r="R39" s="12">
        <v>4</v>
      </c>
      <c r="S39" s="12">
        <v>5</v>
      </c>
      <c r="T39" s="12">
        <v>5</v>
      </c>
      <c r="U39" s="12">
        <v>5</v>
      </c>
      <c r="V39" s="12">
        <v>5</v>
      </c>
      <c r="W39" s="12">
        <v>4</v>
      </c>
      <c r="X39" s="12">
        <v>3</v>
      </c>
      <c r="Y39" s="12">
        <v>4</v>
      </c>
      <c r="Z39" s="12">
        <v>3</v>
      </c>
      <c r="AA39" s="12">
        <v>5</v>
      </c>
      <c r="AB39" s="13">
        <f t="shared" si="2"/>
        <v>69</v>
      </c>
      <c r="AC39" s="14"/>
    </row>
    <row r="40" ht="150" customHeight="1" spans="1:29">
      <c r="A40" s="15"/>
      <c r="B40" s="10" t="s">
        <v>104</v>
      </c>
      <c r="C40" s="11" t="s">
        <v>105</v>
      </c>
      <c r="D40" s="12">
        <v>5</v>
      </c>
      <c r="E40" s="12">
        <v>5</v>
      </c>
      <c r="F40" s="12">
        <v>5</v>
      </c>
      <c r="G40" s="12">
        <v>5</v>
      </c>
      <c r="H40" s="12">
        <v>5</v>
      </c>
      <c r="I40" s="12">
        <v>5</v>
      </c>
      <c r="J40" s="12">
        <v>5</v>
      </c>
      <c r="K40" s="13">
        <f t="shared" si="0"/>
        <v>35</v>
      </c>
      <c r="L40" s="12">
        <v>5</v>
      </c>
      <c r="M40" s="12">
        <v>5</v>
      </c>
      <c r="N40" s="12">
        <v>3</v>
      </c>
      <c r="O40" s="12">
        <v>5</v>
      </c>
      <c r="P40" s="12">
        <v>3</v>
      </c>
      <c r="Q40" s="12">
        <v>5</v>
      </c>
      <c r="R40" s="12">
        <v>4</v>
      </c>
      <c r="S40" s="12">
        <v>5</v>
      </c>
      <c r="T40" s="12">
        <v>5</v>
      </c>
      <c r="U40" s="12">
        <v>5</v>
      </c>
      <c r="V40" s="12">
        <v>5</v>
      </c>
      <c r="W40" s="12">
        <v>4</v>
      </c>
      <c r="X40" s="12">
        <v>3</v>
      </c>
      <c r="Y40" s="12">
        <v>4</v>
      </c>
      <c r="Z40" s="12">
        <v>3</v>
      </c>
      <c r="AA40" s="12">
        <v>4</v>
      </c>
      <c r="AB40" s="13">
        <f t="shared" si="2"/>
        <v>68</v>
      </c>
      <c r="AC40" s="14"/>
    </row>
    <row r="41" ht="143" customHeight="1" spans="1:29">
      <c r="A41" s="15"/>
      <c r="B41" s="10" t="s">
        <v>106</v>
      </c>
      <c r="C41" s="11" t="s">
        <v>107</v>
      </c>
      <c r="D41" s="12">
        <v>5</v>
      </c>
      <c r="E41" s="12">
        <v>5</v>
      </c>
      <c r="F41" s="12">
        <v>5</v>
      </c>
      <c r="G41" s="12">
        <v>5</v>
      </c>
      <c r="H41" s="12">
        <v>5</v>
      </c>
      <c r="I41" s="12">
        <v>5</v>
      </c>
      <c r="J41" s="12">
        <v>5</v>
      </c>
      <c r="K41" s="13">
        <f t="shared" si="0"/>
        <v>35</v>
      </c>
      <c r="L41" s="12">
        <v>5</v>
      </c>
      <c r="M41" s="12">
        <v>5</v>
      </c>
      <c r="N41" s="12">
        <v>3</v>
      </c>
      <c r="O41" s="12">
        <v>5</v>
      </c>
      <c r="P41" s="12">
        <v>3</v>
      </c>
      <c r="Q41" s="12">
        <v>5</v>
      </c>
      <c r="R41" s="12">
        <v>4</v>
      </c>
      <c r="S41" s="12">
        <v>5</v>
      </c>
      <c r="T41" s="12">
        <v>5</v>
      </c>
      <c r="U41" s="12">
        <v>5</v>
      </c>
      <c r="V41" s="12">
        <v>5</v>
      </c>
      <c r="W41" s="12">
        <v>4</v>
      </c>
      <c r="X41" s="12">
        <v>3</v>
      </c>
      <c r="Y41" s="12">
        <v>4</v>
      </c>
      <c r="Z41" s="12">
        <v>3</v>
      </c>
      <c r="AA41" s="12">
        <v>4</v>
      </c>
      <c r="AB41" s="13">
        <f t="shared" si="2"/>
        <v>68</v>
      </c>
      <c r="AC41" s="14"/>
    </row>
    <row r="42" ht="108" spans="1:29">
      <c r="A42" s="15" t="s">
        <v>108</v>
      </c>
      <c r="B42" s="10" t="s">
        <v>109</v>
      </c>
      <c r="C42" s="11" t="s">
        <v>110</v>
      </c>
      <c r="D42" s="12">
        <v>5</v>
      </c>
      <c r="E42" s="12">
        <v>5</v>
      </c>
      <c r="F42" s="12">
        <v>5</v>
      </c>
      <c r="G42" s="12">
        <v>5</v>
      </c>
      <c r="H42" s="12">
        <v>5</v>
      </c>
      <c r="I42" s="12">
        <v>5</v>
      </c>
      <c r="J42" s="12">
        <v>4</v>
      </c>
      <c r="K42" s="13">
        <f t="shared" si="0"/>
        <v>34</v>
      </c>
      <c r="L42" s="12">
        <v>5</v>
      </c>
      <c r="M42" s="12">
        <v>5</v>
      </c>
      <c r="N42" s="12">
        <v>2</v>
      </c>
      <c r="O42" s="12">
        <v>5</v>
      </c>
      <c r="P42" s="12">
        <v>2</v>
      </c>
      <c r="Q42" s="12">
        <v>5</v>
      </c>
      <c r="R42" s="12">
        <v>4</v>
      </c>
      <c r="S42" s="12">
        <v>5</v>
      </c>
      <c r="T42" s="12">
        <v>5</v>
      </c>
      <c r="U42" s="12">
        <v>5</v>
      </c>
      <c r="V42" s="12">
        <v>5</v>
      </c>
      <c r="W42" s="12">
        <v>4</v>
      </c>
      <c r="X42" s="12">
        <v>2</v>
      </c>
      <c r="Y42" s="12">
        <v>3</v>
      </c>
      <c r="Z42" s="12">
        <v>3</v>
      </c>
      <c r="AA42" s="12">
        <v>5</v>
      </c>
      <c r="AB42" s="13">
        <f t="shared" si="2"/>
        <v>65</v>
      </c>
      <c r="AC42" s="14"/>
    </row>
    <row r="43" ht="121.5" spans="1:29">
      <c r="A43" s="15"/>
      <c r="B43" s="10" t="s">
        <v>111</v>
      </c>
      <c r="C43" s="11" t="s">
        <v>112</v>
      </c>
      <c r="D43" s="12">
        <v>5</v>
      </c>
      <c r="E43" s="12">
        <v>5</v>
      </c>
      <c r="F43" s="12">
        <v>5</v>
      </c>
      <c r="G43" s="12">
        <v>5</v>
      </c>
      <c r="H43" s="12">
        <v>5</v>
      </c>
      <c r="I43" s="12">
        <v>5</v>
      </c>
      <c r="J43" s="12">
        <v>5</v>
      </c>
      <c r="K43" s="13">
        <f t="shared" si="0"/>
        <v>35</v>
      </c>
      <c r="L43" s="12">
        <v>5</v>
      </c>
      <c r="M43" s="12">
        <v>5</v>
      </c>
      <c r="N43" s="12">
        <v>2</v>
      </c>
      <c r="O43" s="12">
        <v>5</v>
      </c>
      <c r="P43" s="12">
        <v>2</v>
      </c>
      <c r="Q43" s="12">
        <v>5</v>
      </c>
      <c r="R43" s="12">
        <v>4</v>
      </c>
      <c r="S43" s="12">
        <v>5</v>
      </c>
      <c r="T43" s="12">
        <v>5</v>
      </c>
      <c r="U43" s="12">
        <v>5</v>
      </c>
      <c r="V43" s="12">
        <v>5</v>
      </c>
      <c r="W43" s="12">
        <v>4</v>
      </c>
      <c r="X43" s="12">
        <v>2</v>
      </c>
      <c r="Y43" s="12">
        <v>3</v>
      </c>
      <c r="Z43" s="12">
        <v>3</v>
      </c>
      <c r="AA43" s="12">
        <v>5</v>
      </c>
      <c r="AB43" s="13">
        <f t="shared" si="2"/>
        <v>65</v>
      </c>
      <c r="AC43" s="14"/>
    </row>
    <row r="44" ht="175.5" spans="1:29">
      <c r="A44" s="22"/>
      <c r="B44" s="10" t="s">
        <v>113</v>
      </c>
      <c r="C44" s="11" t="s">
        <v>114</v>
      </c>
      <c r="D44" s="12">
        <v>5</v>
      </c>
      <c r="E44" s="12">
        <v>5</v>
      </c>
      <c r="F44" s="12">
        <v>5</v>
      </c>
      <c r="G44" s="12">
        <v>5</v>
      </c>
      <c r="H44" s="12">
        <v>5</v>
      </c>
      <c r="I44" s="12">
        <v>5</v>
      </c>
      <c r="J44" s="12">
        <v>5</v>
      </c>
      <c r="K44" s="13">
        <f t="shared" si="0"/>
        <v>35</v>
      </c>
      <c r="L44" s="12">
        <v>5</v>
      </c>
      <c r="M44" s="12">
        <v>5</v>
      </c>
      <c r="N44" s="12">
        <v>2</v>
      </c>
      <c r="O44" s="12">
        <v>5</v>
      </c>
      <c r="P44" s="12">
        <v>2</v>
      </c>
      <c r="Q44" s="12">
        <v>5</v>
      </c>
      <c r="R44" s="12">
        <v>4</v>
      </c>
      <c r="S44" s="12">
        <v>5</v>
      </c>
      <c r="T44" s="12">
        <v>5</v>
      </c>
      <c r="U44" s="12">
        <v>5</v>
      </c>
      <c r="V44" s="12">
        <v>5</v>
      </c>
      <c r="W44" s="12">
        <v>4</v>
      </c>
      <c r="X44" s="12">
        <v>3</v>
      </c>
      <c r="Y44" s="12">
        <v>3</v>
      </c>
      <c r="Z44" s="12">
        <v>3</v>
      </c>
      <c r="AA44" s="12">
        <v>5</v>
      </c>
      <c r="AB44" s="13">
        <f t="shared" si="2"/>
        <v>66</v>
      </c>
      <c r="AC44" s="14"/>
    </row>
    <row r="45" ht="108" spans="1:29">
      <c r="A45" s="23" t="s">
        <v>115</v>
      </c>
      <c r="B45" s="10" t="s">
        <v>116</v>
      </c>
      <c r="C45" s="11" t="s">
        <v>117</v>
      </c>
      <c r="D45" s="12">
        <v>5</v>
      </c>
      <c r="E45" s="12">
        <v>5</v>
      </c>
      <c r="F45" s="12">
        <v>5</v>
      </c>
      <c r="G45" s="12">
        <v>5</v>
      </c>
      <c r="H45" s="12">
        <v>5</v>
      </c>
      <c r="I45" s="12">
        <v>5</v>
      </c>
      <c r="J45" s="12">
        <v>5</v>
      </c>
      <c r="K45" s="13">
        <f t="shared" si="0"/>
        <v>35</v>
      </c>
      <c r="L45" s="12">
        <v>5</v>
      </c>
      <c r="M45" s="12">
        <v>5</v>
      </c>
      <c r="N45" s="12">
        <v>3</v>
      </c>
      <c r="O45" s="12">
        <v>5</v>
      </c>
      <c r="P45" s="12">
        <v>2</v>
      </c>
      <c r="Q45" s="12">
        <v>4</v>
      </c>
      <c r="R45" s="12">
        <v>4</v>
      </c>
      <c r="S45" s="12">
        <v>5</v>
      </c>
      <c r="T45" s="12">
        <v>5</v>
      </c>
      <c r="U45" s="12">
        <v>5</v>
      </c>
      <c r="V45" s="12">
        <v>5</v>
      </c>
      <c r="W45" s="12">
        <v>4</v>
      </c>
      <c r="X45" s="12">
        <v>2</v>
      </c>
      <c r="Y45" s="12">
        <v>5</v>
      </c>
      <c r="Z45" s="12">
        <v>3</v>
      </c>
      <c r="AA45" s="12">
        <v>4</v>
      </c>
      <c r="AB45" s="13">
        <f t="shared" si="2"/>
        <v>66</v>
      </c>
      <c r="AC45" s="14"/>
    </row>
    <row r="46" ht="216" spans="1:29">
      <c r="A46" s="23"/>
      <c r="B46" s="10" t="s">
        <v>118</v>
      </c>
      <c r="C46" s="11" t="s">
        <v>119</v>
      </c>
      <c r="D46" s="12">
        <v>5</v>
      </c>
      <c r="E46" s="12">
        <v>5</v>
      </c>
      <c r="F46" s="12">
        <v>5</v>
      </c>
      <c r="G46" s="12">
        <v>5</v>
      </c>
      <c r="H46" s="12">
        <v>5</v>
      </c>
      <c r="I46" s="12">
        <v>5</v>
      </c>
      <c r="J46" s="12">
        <v>5</v>
      </c>
      <c r="K46" s="13">
        <f t="shared" si="0"/>
        <v>35</v>
      </c>
      <c r="L46" s="12">
        <v>5</v>
      </c>
      <c r="M46" s="12">
        <v>5</v>
      </c>
      <c r="N46" s="12">
        <v>3</v>
      </c>
      <c r="O46" s="12">
        <v>5</v>
      </c>
      <c r="P46" s="12">
        <v>2</v>
      </c>
      <c r="Q46" s="12">
        <v>4</v>
      </c>
      <c r="R46" s="12">
        <v>4</v>
      </c>
      <c r="S46" s="12">
        <v>5</v>
      </c>
      <c r="T46" s="12">
        <v>5</v>
      </c>
      <c r="U46" s="12">
        <v>5</v>
      </c>
      <c r="V46" s="12">
        <v>5</v>
      </c>
      <c r="W46" s="12">
        <v>4</v>
      </c>
      <c r="X46" s="12">
        <v>2</v>
      </c>
      <c r="Y46" s="12">
        <v>4</v>
      </c>
      <c r="Z46" s="12">
        <v>3</v>
      </c>
      <c r="AA46" s="12">
        <v>4</v>
      </c>
      <c r="AB46" s="13">
        <f t="shared" si="2"/>
        <v>65</v>
      </c>
      <c r="AC46" s="14"/>
    </row>
    <row r="47" ht="229.5" spans="1:29">
      <c r="A47" s="23"/>
      <c r="B47" s="10" t="s">
        <v>120</v>
      </c>
      <c r="C47" s="11" t="s">
        <v>121</v>
      </c>
      <c r="D47" s="12">
        <v>5</v>
      </c>
      <c r="E47" s="12">
        <v>5</v>
      </c>
      <c r="F47" s="12">
        <v>5</v>
      </c>
      <c r="G47" s="12">
        <v>5</v>
      </c>
      <c r="H47" s="12">
        <v>5</v>
      </c>
      <c r="I47" s="12">
        <v>5</v>
      </c>
      <c r="J47" s="12">
        <v>5</v>
      </c>
      <c r="K47" s="13">
        <f t="shared" si="0"/>
        <v>35</v>
      </c>
      <c r="L47" s="12">
        <v>5</v>
      </c>
      <c r="M47" s="12">
        <v>5</v>
      </c>
      <c r="N47" s="12">
        <v>3</v>
      </c>
      <c r="O47" s="12">
        <v>5</v>
      </c>
      <c r="P47" s="12">
        <v>2</v>
      </c>
      <c r="Q47" s="12">
        <v>4</v>
      </c>
      <c r="R47" s="12">
        <v>4</v>
      </c>
      <c r="S47" s="12">
        <v>5</v>
      </c>
      <c r="T47" s="12">
        <v>5</v>
      </c>
      <c r="U47" s="12">
        <v>5</v>
      </c>
      <c r="V47" s="12">
        <v>5</v>
      </c>
      <c r="W47" s="12">
        <v>4</v>
      </c>
      <c r="X47" s="12">
        <v>2</v>
      </c>
      <c r="Y47" s="12">
        <v>4</v>
      </c>
      <c r="Z47" s="12">
        <v>3</v>
      </c>
      <c r="AA47" s="12">
        <v>4</v>
      </c>
      <c r="AB47" s="13">
        <f t="shared" si="2"/>
        <v>65</v>
      </c>
      <c r="AC47" s="14"/>
    </row>
    <row r="48" ht="121" customHeight="1" spans="1:29">
      <c r="A48" s="23"/>
      <c r="B48" s="10" t="s">
        <v>122</v>
      </c>
      <c r="C48" s="11" t="s">
        <v>123</v>
      </c>
      <c r="D48" s="12">
        <v>5</v>
      </c>
      <c r="E48" s="12">
        <v>5</v>
      </c>
      <c r="F48" s="12">
        <v>5</v>
      </c>
      <c r="G48" s="12">
        <v>5</v>
      </c>
      <c r="H48" s="12">
        <v>5</v>
      </c>
      <c r="I48" s="12">
        <v>5</v>
      </c>
      <c r="J48" s="12">
        <v>5</v>
      </c>
      <c r="K48" s="13">
        <f t="shared" si="0"/>
        <v>35</v>
      </c>
      <c r="L48" s="12">
        <v>5</v>
      </c>
      <c r="M48" s="12">
        <v>5</v>
      </c>
      <c r="N48" s="12">
        <v>3</v>
      </c>
      <c r="O48" s="12">
        <v>5</v>
      </c>
      <c r="P48" s="12">
        <v>3</v>
      </c>
      <c r="Q48" s="12">
        <v>4</v>
      </c>
      <c r="R48" s="12">
        <v>4</v>
      </c>
      <c r="S48" s="12">
        <v>5</v>
      </c>
      <c r="T48" s="12">
        <v>5</v>
      </c>
      <c r="U48" s="12">
        <v>5</v>
      </c>
      <c r="V48" s="12">
        <v>5</v>
      </c>
      <c r="W48" s="12">
        <v>4</v>
      </c>
      <c r="X48" s="12">
        <v>3</v>
      </c>
      <c r="Y48" s="12">
        <v>4</v>
      </c>
      <c r="Z48" s="12">
        <v>3</v>
      </c>
      <c r="AA48" s="12">
        <v>4</v>
      </c>
      <c r="AB48" s="13">
        <f t="shared" si="2"/>
        <v>67</v>
      </c>
      <c r="AC48" s="14"/>
    </row>
    <row r="49" ht="168" customHeight="1" spans="1:29">
      <c r="A49" s="23"/>
      <c r="B49" s="10" t="s">
        <v>124</v>
      </c>
      <c r="C49" s="11" t="s">
        <v>125</v>
      </c>
      <c r="D49" s="12">
        <v>5</v>
      </c>
      <c r="E49" s="12">
        <v>5</v>
      </c>
      <c r="F49" s="12">
        <v>5</v>
      </c>
      <c r="G49" s="12">
        <v>5</v>
      </c>
      <c r="H49" s="12">
        <v>5</v>
      </c>
      <c r="I49" s="12">
        <v>5</v>
      </c>
      <c r="J49" s="12">
        <v>5</v>
      </c>
      <c r="K49" s="13">
        <f t="shared" si="0"/>
        <v>35</v>
      </c>
      <c r="L49" s="12">
        <v>5</v>
      </c>
      <c r="M49" s="12">
        <v>5</v>
      </c>
      <c r="N49" s="12">
        <v>2</v>
      </c>
      <c r="O49" s="12">
        <v>5</v>
      </c>
      <c r="P49" s="12">
        <v>2</v>
      </c>
      <c r="Q49" s="12">
        <v>4</v>
      </c>
      <c r="R49" s="12">
        <v>4</v>
      </c>
      <c r="S49" s="12">
        <v>5</v>
      </c>
      <c r="T49" s="12">
        <v>5</v>
      </c>
      <c r="U49" s="12">
        <v>5</v>
      </c>
      <c r="V49" s="12">
        <v>5</v>
      </c>
      <c r="W49" s="12">
        <v>4</v>
      </c>
      <c r="X49" s="12">
        <v>3</v>
      </c>
      <c r="Y49" s="12">
        <v>3</v>
      </c>
      <c r="Z49" s="12">
        <v>3</v>
      </c>
      <c r="AA49" s="12">
        <v>3</v>
      </c>
      <c r="AB49" s="13">
        <f t="shared" si="2"/>
        <v>63</v>
      </c>
      <c r="AC49" s="14"/>
    </row>
    <row r="50" ht="108" spans="1:29">
      <c r="A50" s="23"/>
      <c r="B50" s="10" t="s">
        <v>126</v>
      </c>
      <c r="C50" s="11" t="s">
        <v>127</v>
      </c>
      <c r="D50" s="12">
        <v>5</v>
      </c>
      <c r="E50" s="12">
        <v>5</v>
      </c>
      <c r="F50" s="12">
        <v>5</v>
      </c>
      <c r="G50" s="12">
        <v>5</v>
      </c>
      <c r="H50" s="12">
        <v>5</v>
      </c>
      <c r="I50" s="12">
        <v>5</v>
      </c>
      <c r="J50" s="12">
        <v>5</v>
      </c>
      <c r="K50" s="13">
        <f t="shared" si="0"/>
        <v>35</v>
      </c>
      <c r="L50" s="12">
        <v>5</v>
      </c>
      <c r="M50" s="12">
        <v>3</v>
      </c>
      <c r="N50" s="12">
        <v>3</v>
      </c>
      <c r="O50" s="12">
        <v>5</v>
      </c>
      <c r="P50" s="12">
        <v>1</v>
      </c>
      <c r="Q50" s="12">
        <v>4</v>
      </c>
      <c r="R50" s="12">
        <v>4</v>
      </c>
      <c r="S50" s="12">
        <v>5</v>
      </c>
      <c r="T50" s="12">
        <v>5</v>
      </c>
      <c r="U50" s="12">
        <v>5</v>
      </c>
      <c r="V50" s="12">
        <v>5</v>
      </c>
      <c r="W50" s="12">
        <v>4</v>
      </c>
      <c r="X50" s="12">
        <v>3</v>
      </c>
      <c r="Y50" s="12">
        <v>3</v>
      </c>
      <c r="Z50" s="12">
        <v>3</v>
      </c>
      <c r="AA50" s="12">
        <v>3</v>
      </c>
      <c r="AB50" s="13">
        <f t="shared" si="2"/>
        <v>61</v>
      </c>
      <c r="AC50" s="14"/>
    </row>
    <row r="51" ht="94.5" spans="1:29">
      <c r="A51" s="23"/>
      <c r="B51" s="10" t="s">
        <v>128</v>
      </c>
      <c r="C51" s="11" t="s">
        <v>129</v>
      </c>
      <c r="D51" s="12">
        <v>5</v>
      </c>
      <c r="E51" s="12">
        <v>5</v>
      </c>
      <c r="F51" s="12">
        <v>5</v>
      </c>
      <c r="G51" s="12">
        <v>5</v>
      </c>
      <c r="H51" s="12">
        <v>5</v>
      </c>
      <c r="I51" s="12">
        <v>5</v>
      </c>
      <c r="J51" s="12">
        <v>5</v>
      </c>
      <c r="K51" s="13">
        <f t="shared" si="0"/>
        <v>35</v>
      </c>
      <c r="L51" s="12">
        <v>5</v>
      </c>
      <c r="M51" s="12">
        <v>5</v>
      </c>
      <c r="N51" s="12">
        <v>2</v>
      </c>
      <c r="O51" s="12">
        <v>5</v>
      </c>
      <c r="P51" s="12">
        <v>2</v>
      </c>
      <c r="Q51" s="12">
        <v>4</v>
      </c>
      <c r="R51" s="12">
        <v>4</v>
      </c>
      <c r="S51" s="12">
        <v>5</v>
      </c>
      <c r="T51" s="12">
        <v>5</v>
      </c>
      <c r="U51" s="12">
        <v>5</v>
      </c>
      <c r="V51" s="12">
        <v>5</v>
      </c>
      <c r="W51" s="12">
        <v>4</v>
      </c>
      <c r="X51" s="12">
        <v>2</v>
      </c>
      <c r="Y51" s="12">
        <v>3</v>
      </c>
      <c r="Z51" s="12">
        <v>3</v>
      </c>
      <c r="AA51" s="12">
        <v>3</v>
      </c>
      <c r="AB51" s="13">
        <f t="shared" si="2"/>
        <v>62</v>
      </c>
      <c r="AC51" s="13"/>
    </row>
    <row r="52" ht="108" spans="1:29">
      <c r="B52" s="10" t="s">
        <v>130</v>
      </c>
      <c r="C52" s="11" t="s">
        <v>131</v>
      </c>
      <c r="D52" s="12">
        <v>5</v>
      </c>
      <c r="E52" s="12">
        <v>5</v>
      </c>
      <c r="F52" s="12">
        <v>5</v>
      </c>
      <c r="G52" s="12">
        <v>5</v>
      </c>
      <c r="H52" s="12">
        <v>5</v>
      </c>
      <c r="I52" s="12">
        <v>5</v>
      </c>
      <c r="J52" s="12">
        <v>5</v>
      </c>
      <c r="K52" s="13">
        <f t="shared" si="0"/>
        <v>35</v>
      </c>
      <c r="L52" s="12">
        <v>5</v>
      </c>
      <c r="M52" s="12">
        <v>5</v>
      </c>
      <c r="N52" s="12">
        <v>2</v>
      </c>
      <c r="O52" s="12">
        <v>5</v>
      </c>
      <c r="P52" s="12">
        <v>2</v>
      </c>
      <c r="Q52" s="12">
        <v>4</v>
      </c>
      <c r="R52" s="12">
        <v>4</v>
      </c>
      <c r="S52" s="12">
        <v>5</v>
      </c>
      <c r="T52" s="12">
        <v>5</v>
      </c>
      <c r="U52" s="12">
        <v>5</v>
      </c>
      <c r="V52" s="12">
        <v>5</v>
      </c>
      <c r="W52" s="12">
        <v>4</v>
      </c>
      <c r="X52" s="12">
        <v>1</v>
      </c>
      <c r="Y52" s="12">
        <v>3</v>
      </c>
      <c r="Z52" s="12">
        <v>3</v>
      </c>
      <c r="AA52" s="12">
        <v>3</v>
      </c>
      <c r="AB52" s="13">
        <f t="shared" si="2"/>
        <v>61</v>
      </c>
      <c r="AC52" s="14"/>
    </row>
    <row r="53" spans="1:29">
      <c r="B53" s="10"/>
      <c r="C53" s="11"/>
      <c r="D53" s="14">
        <f>AVERAGE(D3:D52)</f>
        <v>4.92</v>
      </c>
      <c r="E53" s="14">
        <f t="shared" ref="E53:AB53" si="3">AVERAGE(E3:E52)</f>
        <v>4.98</v>
      </c>
      <c r="F53" s="14">
        <f t="shared" si="3"/>
        <v>4.98</v>
      </c>
      <c r="G53" s="14">
        <f t="shared" si="3"/>
        <v>4.86</v>
      </c>
      <c r="H53" s="14">
        <f t="shared" si="3"/>
        <v>4.94</v>
      </c>
      <c r="I53" s="14">
        <f t="shared" si="3"/>
        <v>4.98</v>
      </c>
      <c r="J53" s="14">
        <f t="shared" si="3"/>
        <v>4.86</v>
      </c>
      <c r="K53" s="14">
        <f t="shared" si="3"/>
        <v>34.52</v>
      </c>
      <c r="L53" s="14">
        <f t="shared" si="3"/>
        <v>4.98</v>
      </c>
      <c r="M53" s="14">
        <f t="shared" si="3"/>
        <v>4.94</v>
      </c>
      <c r="N53" s="14">
        <f t="shared" si="3"/>
        <v>2.72</v>
      </c>
      <c r="O53" s="14">
        <f t="shared" si="3"/>
        <v>5</v>
      </c>
      <c r="P53" s="14">
        <f t="shared" si="3"/>
        <v>2.08</v>
      </c>
      <c r="Q53" s="14">
        <f t="shared" si="3"/>
        <v>4.38</v>
      </c>
      <c r="R53" s="14">
        <f t="shared" si="3"/>
        <v>3.9</v>
      </c>
      <c r="S53" s="14">
        <f t="shared" si="3"/>
        <v>4.96</v>
      </c>
      <c r="T53" s="14">
        <f t="shared" si="3"/>
        <v>4.96</v>
      </c>
      <c r="U53" s="14">
        <f t="shared" si="3"/>
        <v>5</v>
      </c>
      <c r="V53" s="14">
        <f t="shared" si="3"/>
        <v>5</v>
      </c>
      <c r="W53" s="14">
        <f t="shared" si="3"/>
        <v>3.1</v>
      </c>
      <c r="X53" s="14">
        <f t="shared" si="3"/>
        <v>2.24</v>
      </c>
      <c r="Y53" s="14">
        <f t="shared" si="3"/>
        <v>3.48</v>
      </c>
      <c r="Z53" s="14">
        <f t="shared" si="3"/>
        <v>3</v>
      </c>
      <c r="AA53" s="14">
        <f t="shared" si="3"/>
        <v>3.6</v>
      </c>
      <c r="AB53" s="14">
        <f t="shared" si="3"/>
        <v>63.34</v>
      </c>
      <c r="AC53" s="14"/>
    </row>
    <row r="54" spans="1:29">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row>
    <row r="55" spans="1:29">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row>
    <row r="56" spans="1:29">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row>
    <row r="57" spans="1:29">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row>
    <row r="58" spans="1:29">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row>
    <row r="59" spans="1:29">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spans="1:29">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spans="1:29">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spans="1:29">
      <c r="B62" s="10"/>
      <c r="C62" s="11"/>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row r="63" spans="1:29">
      <c r="B63" s="10"/>
      <c r="C63" s="11"/>
      <c r="D63" s="14"/>
      <c r="E63" s="14"/>
      <c r="F63" s="14"/>
      <c r="G63" s="14"/>
      <c r="H63" s="14"/>
      <c r="I63" s="14"/>
      <c r="J63" s="14"/>
      <c r="K63" s="13"/>
      <c r="L63" s="14"/>
      <c r="M63" s="14"/>
      <c r="N63" s="14"/>
      <c r="O63" s="14"/>
      <c r="P63" s="14"/>
      <c r="Q63" s="14"/>
      <c r="R63" s="14"/>
      <c r="S63" s="14"/>
      <c r="T63" s="14"/>
      <c r="U63" s="14"/>
      <c r="V63" s="14"/>
      <c r="W63" s="14"/>
      <c r="X63" s="14"/>
      <c r="Y63" s="14"/>
      <c r="Z63" s="14"/>
      <c r="AA63" s="14"/>
      <c r="AB63" s="13"/>
      <c r="AC63" s="14"/>
    </row>
    <row r="64" spans="1:29">
      <c r="B64" s="10"/>
      <c r="C64" s="11"/>
      <c r="D64" s="14"/>
      <c r="E64" s="14"/>
      <c r="F64" s="14"/>
      <c r="G64" s="14"/>
      <c r="H64" s="14"/>
      <c r="I64" s="14"/>
      <c r="J64" s="14"/>
      <c r="K64" s="13"/>
      <c r="L64" s="14"/>
      <c r="M64" s="14"/>
      <c r="N64" s="14"/>
      <c r="O64" s="14"/>
      <c r="P64" s="14"/>
      <c r="Q64" s="14"/>
      <c r="R64" s="14"/>
      <c r="S64" s="14"/>
      <c r="T64" s="14"/>
      <c r="U64" s="14"/>
      <c r="V64" s="14"/>
      <c r="W64" s="14"/>
      <c r="X64" s="14"/>
      <c r="Y64" s="14"/>
      <c r="Z64" s="14"/>
      <c r="AA64" s="14"/>
      <c r="AB64" s="13"/>
      <c r="AC64" s="14"/>
    </row>
    <row r="65" spans="2:29">
      <c r="B65" s="10"/>
      <c r="C65" s="11"/>
      <c r="D65" s="14"/>
      <c r="E65" s="14"/>
      <c r="F65" s="14"/>
      <c r="G65" s="14"/>
      <c r="H65" s="14"/>
      <c r="I65" s="14"/>
      <c r="J65" s="14"/>
      <c r="K65" s="13"/>
      <c r="L65" s="14"/>
      <c r="M65" s="14"/>
      <c r="N65" s="14"/>
      <c r="O65" s="14"/>
      <c r="P65" s="14"/>
      <c r="Q65" s="14"/>
      <c r="R65" s="14"/>
      <c r="S65" s="14"/>
      <c r="T65" s="14"/>
      <c r="U65" s="14"/>
      <c r="V65" s="14"/>
      <c r="W65" s="14"/>
      <c r="X65" s="14"/>
      <c r="Y65" s="14"/>
      <c r="Z65" s="14"/>
      <c r="AA65" s="14"/>
      <c r="AB65" s="13"/>
      <c r="AC65" s="14"/>
    </row>
    <row r="66" spans="2:29">
      <c r="B66" s="10"/>
      <c r="C66" s="11"/>
      <c r="D66" s="14"/>
      <c r="E66" s="14"/>
      <c r="F66" s="14"/>
      <c r="G66" s="14"/>
      <c r="H66" s="14"/>
      <c r="I66" s="14"/>
      <c r="J66" s="14"/>
      <c r="K66" s="13"/>
      <c r="L66" s="14"/>
      <c r="M66" s="14"/>
      <c r="N66" s="14"/>
      <c r="O66" s="14"/>
      <c r="P66" s="14"/>
      <c r="Q66" s="14"/>
      <c r="R66" s="14"/>
      <c r="S66" s="14"/>
      <c r="T66" s="14"/>
      <c r="U66" s="14"/>
      <c r="V66" s="14"/>
      <c r="W66" s="14"/>
      <c r="X66" s="14"/>
      <c r="Y66" s="14"/>
      <c r="Z66" s="14"/>
      <c r="AA66" s="14"/>
      <c r="AB66" s="13"/>
      <c r="AC66" s="14"/>
    </row>
    <row r="67" spans="2:29">
      <c r="B67" s="10"/>
      <c r="C67" s="11"/>
      <c r="D67" s="14"/>
      <c r="E67" s="14"/>
      <c r="F67" s="14"/>
      <c r="G67" s="14"/>
      <c r="H67" s="14"/>
      <c r="I67" s="14"/>
      <c r="J67" s="14"/>
      <c r="K67" s="13"/>
      <c r="L67" s="14"/>
      <c r="M67" s="14"/>
      <c r="N67" s="14"/>
      <c r="O67" s="14"/>
      <c r="P67" s="14"/>
      <c r="Q67" s="14"/>
      <c r="R67" s="14"/>
      <c r="S67" s="14"/>
      <c r="T67" s="14"/>
      <c r="U67" s="14"/>
      <c r="V67" s="14"/>
      <c r="W67" s="14"/>
      <c r="X67" s="14"/>
      <c r="Y67" s="14"/>
      <c r="Z67" s="14"/>
      <c r="AA67" s="14"/>
      <c r="AB67" s="13"/>
      <c r="AC67" s="14"/>
    </row>
    <row r="68" spans="2:29">
      <c r="B68" s="10"/>
      <c r="C68" s="11"/>
      <c r="D68" s="14"/>
      <c r="E68" s="14"/>
      <c r="F68" s="14"/>
      <c r="G68" s="14"/>
      <c r="H68" s="14"/>
      <c r="I68" s="14"/>
      <c r="J68" s="14"/>
      <c r="K68" s="13"/>
      <c r="L68" s="14"/>
      <c r="M68" s="14"/>
      <c r="N68" s="14"/>
      <c r="O68" s="14"/>
      <c r="P68" s="14"/>
      <c r="Q68" s="14"/>
      <c r="R68" s="14"/>
      <c r="S68" s="14"/>
      <c r="T68" s="14"/>
      <c r="U68" s="14"/>
      <c r="V68" s="14"/>
      <c r="W68" s="14"/>
      <c r="X68" s="14"/>
      <c r="Y68" s="14"/>
      <c r="Z68" s="14"/>
      <c r="AA68" s="14"/>
      <c r="AB68" s="13"/>
      <c r="AC68" s="14"/>
    </row>
    <row r="69" spans="2:29">
      <c r="B69" s="10"/>
      <c r="C69" s="11"/>
      <c r="D69" s="14"/>
      <c r="E69" s="14"/>
      <c r="F69" s="14"/>
      <c r="G69" s="14"/>
      <c r="H69" s="14"/>
      <c r="I69" s="14"/>
      <c r="J69" s="14"/>
      <c r="K69" s="13"/>
      <c r="L69" s="14"/>
      <c r="M69" s="14"/>
      <c r="N69" s="14"/>
      <c r="O69" s="14"/>
      <c r="P69" s="14"/>
      <c r="Q69" s="14"/>
      <c r="R69" s="14"/>
      <c r="S69" s="14"/>
      <c r="T69" s="14"/>
      <c r="U69" s="14"/>
      <c r="V69" s="14"/>
      <c r="W69" s="14"/>
      <c r="X69" s="14"/>
      <c r="Y69" s="14"/>
      <c r="Z69" s="14"/>
      <c r="AA69" s="14"/>
      <c r="AB69" s="13"/>
      <c r="AC69" s="14"/>
    </row>
    <row r="70" spans="2:29">
      <c r="B70" s="10"/>
      <c r="C70" s="11"/>
      <c r="D70" s="14"/>
      <c r="E70" s="14"/>
      <c r="F70" s="14"/>
      <c r="G70" s="14"/>
      <c r="H70" s="14"/>
      <c r="I70" s="14"/>
      <c r="J70" s="14"/>
      <c r="K70" s="13"/>
      <c r="L70" s="14"/>
      <c r="M70" s="14"/>
      <c r="N70" s="14"/>
      <c r="O70" s="14"/>
      <c r="P70" s="14"/>
      <c r="Q70" s="14"/>
      <c r="R70" s="14"/>
      <c r="S70" s="14"/>
      <c r="T70" s="14"/>
      <c r="U70" s="14"/>
      <c r="V70" s="14"/>
      <c r="W70" s="14"/>
      <c r="X70" s="14"/>
      <c r="Y70" s="14"/>
      <c r="Z70" s="14"/>
      <c r="AA70" s="14"/>
      <c r="AB70" s="13"/>
      <c r="AC70" s="14"/>
    </row>
    <row r="71" spans="2:29">
      <c r="B71" s="10"/>
      <c r="C71" s="11"/>
      <c r="D71" s="14"/>
      <c r="E71" s="14"/>
      <c r="F71" s="14"/>
      <c r="G71" s="14"/>
      <c r="H71" s="14"/>
      <c r="I71" s="14"/>
      <c r="J71" s="14"/>
      <c r="K71" s="13"/>
      <c r="L71" s="14"/>
      <c r="M71" s="14"/>
      <c r="N71" s="14"/>
      <c r="O71" s="14"/>
      <c r="P71" s="14"/>
      <c r="Q71" s="14"/>
      <c r="R71" s="14"/>
      <c r="S71" s="14"/>
      <c r="T71" s="14"/>
      <c r="U71" s="14"/>
      <c r="V71" s="14"/>
      <c r="W71" s="14"/>
      <c r="X71" s="14"/>
      <c r="Y71" s="14"/>
      <c r="Z71" s="14"/>
      <c r="AA71" s="14"/>
      <c r="AB71" s="13"/>
      <c r="AC71" s="14"/>
    </row>
    <row r="72" spans="2:29">
      <c r="B72" s="10"/>
      <c r="C72" s="11"/>
      <c r="D72" s="14"/>
      <c r="E72" s="14"/>
      <c r="F72" s="14"/>
      <c r="G72" s="14"/>
      <c r="H72" s="14"/>
      <c r="I72" s="14"/>
      <c r="J72" s="14"/>
      <c r="K72" s="13"/>
      <c r="L72" s="14"/>
      <c r="M72" s="14"/>
      <c r="N72" s="14"/>
      <c r="O72" s="14"/>
      <c r="P72" s="14"/>
      <c r="Q72" s="14"/>
      <c r="R72" s="14"/>
      <c r="S72" s="14"/>
      <c r="T72" s="14"/>
      <c r="U72" s="14"/>
      <c r="V72" s="14"/>
      <c r="W72" s="14"/>
      <c r="X72" s="14"/>
      <c r="Y72" s="14"/>
      <c r="Z72" s="14"/>
      <c r="AA72" s="14"/>
      <c r="AB72" s="13"/>
      <c r="AC72" s="14"/>
    </row>
    <row r="73" spans="2:29">
      <c r="B73" s="10"/>
      <c r="C73" s="11"/>
      <c r="D73" s="14"/>
      <c r="E73" s="14"/>
      <c r="F73" s="14"/>
      <c r="G73" s="14"/>
      <c r="H73" s="14"/>
      <c r="I73" s="14"/>
      <c r="J73" s="14"/>
      <c r="K73" s="13"/>
      <c r="L73" s="14"/>
      <c r="M73" s="14"/>
      <c r="N73" s="14"/>
      <c r="O73" s="14"/>
      <c r="P73" s="14"/>
      <c r="Q73" s="14"/>
      <c r="R73" s="14"/>
      <c r="S73" s="14"/>
      <c r="T73" s="14"/>
      <c r="U73" s="14"/>
      <c r="V73" s="14"/>
      <c r="W73" s="14"/>
      <c r="X73" s="14"/>
      <c r="Y73" s="14"/>
      <c r="Z73" s="14"/>
      <c r="AA73" s="14"/>
      <c r="AB73" s="13"/>
      <c r="AC73" s="14"/>
    </row>
    <row r="74" spans="2:29">
      <c r="B74" s="10"/>
      <c r="C74" s="11"/>
      <c r="D74" s="14"/>
      <c r="E74" s="14"/>
      <c r="F74" s="14"/>
      <c r="G74" s="14"/>
      <c r="H74" s="14"/>
      <c r="I74" s="14"/>
      <c r="J74" s="14"/>
      <c r="K74" s="13"/>
      <c r="L74" s="14"/>
      <c r="M74" s="14"/>
      <c r="N74" s="14"/>
      <c r="O74" s="14"/>
      <c r="P74" s="14"/>
      <c r="Q74" s="14"/>
      <c r="R74" s="14"/>
      <c r="S74" s="14"/>
      <c r="T74" s="14"/>
      <c r="U74" s="14"/>
      <c r="V74" s="14"/>
      <c r="W74" s="14"/>
      <c r="X74" s="14"/>
      <c r="Y74" s="14"/>
      <c r="Z74" s="14"/>
      <c r="AA74" s="14"/>
      <c r="AB74" s="13"/>
      <c r="AC74" s="14"/>
    </row>
    <row r="75" spans="2:29">
      <c r="B75" s="10"/>
      <c r="C75" s="11"/>
      <c r="D75" s="14"/>
      <c r="E75" s="14"/>
      <c r="F75" s="14"/>
      <c r="G75" s="14"/>
      <c r="H75" s="14"/>
      <c r="I75" s="14"/>
      <c r="J75" s="14"/>
      <c r="K75" s="13"/>
      <c r="L75" s="14"/>
      <c r="M75" s="14"/>
      <c r="N75" s="14"/>
      <c r="O75" s="14"/>
      <c r="P75" s="14"/>
      <c r="Q75" s="14"/>
      <c r="R75" s="14"/>
      <c r="S75" s="14"/>
      <c r="T75" s="14"/>
      <c r="U75" s="14"/>
      <c r="V75" s="14"/>
      <c r="W75" s="14"/>
      <c r="X75" s="14"/>
      <c r="Y75" s="14"/>
      <c r="Z75" s="14"/>
      <c r="AA75" s="14"/>
      <c r="AB75" s="13"/>
      <c r="AC75" s="14"/>
    </row>
    <row r="76" spans="2:29">
      <c r="B76" s="10"/>
      <c r="C76" s="11"/>
      <c r="D76" s="14"/>
      <c r="E76" s="14"/>
      <c r="F76" s="14"/>
      <c r="G76" s="14"/>
      <c r="H76" s="14"/>
      <c r="I76" s="14"/>
      <c r="J76" s="14"/>
      <c r="K76" s="13"/>
      <c r="L76" s="14"/>
      <c r="M76" s="14"/>
      <c r="N76" s="14"/>
      <c r="O76" s="14"/>
      <c r="P76" s="14"/>
      <c r="Q76" s="14"/>
      <c r="R76" s="14"/>
      <c r="S76" s="14"/>
      <c r="T76" s="14"/>
      <c r="U76" s="14"/>
      <c r="V76" s="14"/>
      <c r="W76" s="14"/>
      <c r="X76" s="14"/>
      <c r="Y76" s="14"/>
      <c r="Z76" s="14"/>
      <c r="AA76" s="14"/>
      <c r="AB76" s="13"/>
      <c r="AC76" s="14"/>
    </row>
    <row r="77" spans="2:29">
      <c r="B77" s="10"/>
      <c r="C77" s="11"/>
      <c r="D77" s="14"/>
      <c r="E77" s="14"/>
      <c r="F77" s="14"/>
      <c r="G77" s="14"/>
      <c r="H77" s="14"/>
      <c r="I77" s="14"/>
      <c r="J77" s="14"/>
      <c r="K77" s="13"/>
      <c r="L77" s="14"/>
      <c r="M77" s="14"/>
      <c r="N77" s="14"/>
      <c r="O77" s="14"/>
      <c r="P77" s="14"/>
      <c r="Q77" s="14"/>
      <c r="R77" s="14"/>
      <c r="S77" s="14"/>
      <c r="T77" s="14"/>
      <c r="U77" s="14"/>
      <c r="V77" s="14"/>
      <c r="W77" s="14"/>
      <c r="X77" s="14"/>
      <c r="Y77" s="14"/>
      <c r="Z77" s="14"/>
      <c r="AA77" s="14"/>
      <c r="AB77" s="13"/>
      <c r="AC77" s="14"/>
    </row>
    <row r="78" spans="2:29">
      <c r="B78" s="10"/>
      <c r="C78" s="11"/>
      <c r="D78" s="14"/>
      <c r="E78" s="14"/>
      <c r="F78" s="14"/>
      <c r="G78" s="14"/>
      <c r="H78" s="14"/>
      <c r="I78" s="14"/>
      <c r="J78" s="14"/>
      <c r="K78" s="13"/>
      <c r="L78" s="14"/>
      <c r="M78" s="14"/>
      <c r="N78" s="14"/>
      <c r="O78" s="14"/>
      <c r="P78" s="14"/>
      <c r="Q78" s="14"/>
      <c r="R78" s="14"/>
      <c r="S78" s="14"/>
      <c r="T78" s="14"/>
      <c r="U78" s="14"/>
      <c r="V78" s="14"/>
      <c r="W78" s="14"/>
      <c r="X78" s="14"/>
      <c r="Y78" s="14"/>
      <c r="Z78" s="14"/>
      <c r="AA78" s="14"/>
      <c r="AB78" s="13"/>
      <c r="AC78" s="14"/>
    </row>
    <row r="79" spans="2:29">
      <c r="B79" s="10"/>
      <c r="C79" s="11"/>
      <c r="D79" s="14"/>
      <c r="E79" s="14"/>
      <c r="F79" s="14"/>
      <c r="G79" s="14"/>
      <c r="H79" s="14"/>
      <c r="I79" s="14"/>
      <c r="J79" s="14"/>
      <c r="K79" s="13"/>
      <c r="L79" s="14"/>
      <c r="M79" s="14"/>
      <c r="N79" s="14"/>
      <c r="O79" s="14"/>
      <c r="P79" s="14"/>
      <c r="Q79" s="14"/>
      <c r="R79" s="14"/>
      <c r="S79" s="14"/>
      <c r="T79" s="14"/>
      <c r="U79" s="14"/>
      <c r="V79" s="14"/>
      <c r="W79" s="14"/>
      <c r="X79" s="14"/>
      <c r="Y79" s="14"/>
      <c r="Z79" s="14"/>
      <c r="AA79" s="14"/>
      <c r="AB79" s="13"/>
      <c r="AC79" s="14"/>
    </row>
    <row r="80" spans="2:29">
      <c r="B80" s="10"/>
      <c r="C80" s="11"/>
      <c r="D80" s="14"/>
      <c r="E80" s="14"/>
      <c r="F80" s="14"/>
      <c r="G80" s="14"/>
      <c r="H80" s="14"/>
      <c r="I80" s="14"/>
      <c r="J80" s="14"/>
      <c r="K80" s="13"/>
      <c r="L80" s="14"/>
      <c r="M80" s="14"/>
      <c r="N80" s="14"/>
      <c r="O80" s="14"/>
      <c r="P80" s="14"/>
      <c r="Q80" s="14"/>
      <c r="R80" s="14"/>
      <c r="S80" s="14"/>
      <c r="T80" s="14"/>
      <c r="U80" s="14"/>
      <c r="V80" s="14"/>
      <c r="W80" s="14"/>
      <c r="X80" s="14"/>
      <c r="Y80" s="14"/>
      <c r="Z80" s="14"/>
      <c r="AA80" s="14"/>
      <c r="AB80" s="13"/>
      <c r="AC80" s="14"/>
    </row>
    <row r="81" spans="2:29">
      <c r="B81" s="10"/>
      <c r="C81" s="11"/>
      <c r="D81" s="14"/>
      <c r="E81" s="14"/>
      <c r="F81" s="14"/>
      <c r="G81" s="14"/>
      <c r="H81" s="14"/>
      <c r="I81" s="14"/>
      <c r="J81" s="14"/>
      <c r="K81" s="13"/>
      <c r="L81" s="14"/>
      <c r="M81" s="14"/>
      <c r="N81" s="14"/>
      <c r="O81" s="14"/>
      <c r="P81" s="14"/>
      <c r="Q81" s="14"/>
      <c r="R81" s="14"/>
      <c r="S81" s="14"/>
      <c r="T81" s="14"/>
      <c r="U81" s="14"/>
      <c r="V81" s="14"/>
      <c r="W81" s="14"/>
      <c r="X81" s="14"/>
      <c r="Y81" s="14"/>
      <c r="Z81" s="14"/>
      <c r="AA81" s="14"/>
      <c r="AB81" s="13"/>
      <c r="AC81" s="14"/>
    </row>
    <row r="82" spans="2:29">
      <c r="B82" s="10"/>
      <c r="C82" s="11"/>
      <c r="D82" s="14"/>
      <c r="E82" s="14"/>
      <c r="F82" s="14"/>
      <c r="G82" s="14"/>
      <c r="H82" s="14"/>
      <c r="I82" s="14"/>
      <c r="J82" s="14"/>
      <c r="K82" s="13"/>
      <c r="L82" s="14"/>
      <c r="M82" s="14"/>
      <c r="N82" s="14"/>
      <c r="O82" s="14"/>
      <c r="P82" s="14"/>
      <c r="Q82" s="14"/>
      <c r="R82" s="14"/>
      <c r="S82" s="14"/>
      <c r="T82" s="14"/>
      <c r="U82" s="14"/>
      <c r="V82" s="14"/>
      <c r="W82" s="14"/>
      <c r="X82" s="14"/>
      <c r="Y82" s="14"/>
      <c r="Z82" s="14"/>
      <c r="AA82" s="14"/>
      <c r="AB82" s="13"/>
      <c r="AC82" s="14"/>
    </row>
    <row r="83" spans="2:29">
      <c r="B83" s="10"/>
      <c r="C83" s="11"/>
      <c r="D83" s="14"/>
      <c r="E83" s="14"/>
      <c r="F83" s="14"/>
      <c r="G83" s="14"/>
      <c r="H83" s="14"/>
      <c r="I83" s="14"/>
      <c r="J83" s="14"/>
      <c r="K83" s="13"/>
      <c r="L83" s="14"/>
      <c r="M83" s="14"/>
      <c r="N83" s="14"/>
      <c r="O83" s="14"/>
      <c r="P83" s="14"/>
      <c r="Q83" s="14"/>
      <c r="R83" s="14"/>
      <c r="S83" s="14"/>
      <c r="T83" s="14"/>
      <c r="U83" s="14"/>
      <c r="V83" s="14"/>
      <c r="W83" s="14"/>
      <c r="X83" s="14"/>
      <c r="Y83" s="14"/>
      <c r="Z83" s="14"/>
      <c r="AA83" s="14"/>
      <c r="AB83" s="13"/>
      <c r="AC83" s="14"/>
    </row>
    <row r="84" spans="2:29">
      <c r="B84" s="10"/>
      <c r="C84" s="11"/>
      <c r="D84" s="14"/>
      <c r="E84" s="14"/>
      <c r="F84" s="14"/>
      <c r="G84" s="14"/>
      <c r="H84" s="14"/>
      <c r="I84" s="14"/>
      <c r="J84" s="14"/>
      <c r="K84" s="13"/>
      <c r="L84" s="14"/>
      <c r="M84" s="14"/>
      <c r="N84" s="14"/>
      <c r="O84" s="14"/>
      <c r="P84" s="14"/>
      <c r="Q84" s="14"/>
      <c r="R84" s="14"/>
      <c r="S84" s="14"/>
      <c r="T84" s="14"/>
      <c r="U84" s="14"/>
      <c r="V84" s="14"/>
      <c r="W84" s="14"/>
      <c r="X84" s="14"/>
      <c r="Y84" s="14"/>
      <c r="Z84" s="14"/>
      <c r="AA84" s="14"/>
      <c r="AB84" s="13"/>
      <c r="AC84" s="14"/>
    </row>
    <row r="85" spans="2:29">
      <c r="B85" s="10"/>
      <c r="C85" s="11"/>
      <c r="D85" s="14"/>
      <c r="E85" s="14"/>
      <c r="F85" s="14"/>
      <c r="G85" s="14"/>
      <c r="H85" s="14"/>
      <c r="I85" s="14"/>
      <c r="J85" s="14"/>
      <c r="K85" s="13"/>
      <c r="L85" s="14"/>
      <c r="M85" s="14"/>
      <c r="N85" s="14"/>
      <c r="O85" s="14"/>
      <c r="P85" s="14"/>
      <c r="Q85" s="14"/>
      <c r="R85" s="14"/>
      <c r="S85" s="14"/>
      <c r="T85" s="14"/>
      <c r="U85" s="14"/>
      <c r="V85" s="14"/>
      <c r="W85" s="14"/>
      <c r="X85" s="14"/>
      <c r="Y85" s="14"/>
      <c r="Z85" s="14"/>
      <c r="AA85" s="14"/>
      <c r="AB85" s="13"/>
      <c r="AC85" s="14"/>
    </row>
    <row r="86" spans="2:29">
      <c r="B86" s="10"/>
      <c r="C86" s="11"/>
      <c r="D86" s="14"/>
      <c r="E86" s="14"/>
      <c r="F86" s="14"/>
      <c r="G86" s="14"/>
      <c r="H86" s="14"/>
      <c r="I86" s="14"/>
      <c r="J86" s="14"/>
      <c r="K86" s="13"/>
      <c r="L86" s="14"/>
      <c r="M86" s="14"/>
      <c r="N86" s="14"/>
      <c r="O86" s="14"/>
      <c r="P86" s="14"/>
      <c r="Q86" s="14"/>
      <c r="R86" s="14"/>
      <c r="S86" s="14"/>
      <c r="T86" s="14"/>
      <c r="U86" s="14"/>
      <c r="V86" s="14"/>
      <c r="W86" s="14"/>
      <c r="X86" s="14"/>
      <c r="Y86" s="14"/>
      <c r="Z86" s="14"/>
      <c r="AA86" s="14"/>
      <c r="AB86" s="13"/>
      <c r="AC86" s="14"/>
    </row>
    <row r="87" spans="2:29">
      <c r="B87" s="10"/>
      <c r="C87" s="11"/>
      <c r="D87" s="14"/>
      <c r="E87" s="14"/>
      <c r="F87" s="14"/>
      <c r="G87" s="14"/>
      <c r="H87" s="14"/>
      <c r="I87" s="14"/>
      <c r="J87" s="14"/>
      <c r="K87" s="13"/>
      <c r="L87" s="14"/>
      <c r="M87" s="14"/>
      <c r="N87" s="14"/>
      <c r="O87" s="14"/>
      <c r="P87" s="14"/>
      <c r="Q87" s="14"/>
      <c r="R87" s="14"/>
      <c r="S87" s="14"/>
      <c r="T87" s="14"/>
      <c r="U87" s="14"/>
      <c r="V87" s="14"/>
      <c r="W87" s="14"/>
      <c r="X87" s="14"/>
      <c r="Y87" s="14"/>
      <c r="Z87" s="14"/>
      <c r="AA87" s="14"/>
      <c r="AB87" s="13"/>
      <c r="AC87" s="14"/>
    </row>
    <row r="88" spans="2:29">
      <c r="B88" s="10"/>
      <c r="C88" s="11"/>
      <c r="D88" s="14"/>
      <c r="E88" s="14"/>
      <c r="F88" s="14"/>
      <c r="G88" s="14"/>
      <c r="H88" s="14"/>
      <c r="I88" s="14"/>
      <c r="J88" s="14"/>
      <c r="K88" s="13"/>
      <c r="L88" s="14"/>
      <c r="M88" s="14"/>
      <c r="N88" s="14"/>
      <c r="O88" s="14"/>
      <c r="P88" s="14"/>
      <c r="Q88" s="14"/>
      <c r="R88" s="14"/>
      <c r="S88" s="14"/>
      <c r="T88" s="14"/>
      <c r="U88" s="14"/>
      <c r="V88" s="14"/>
      <c r="W88" s="14"/>
      <c r="X88" s="14"/>
      <c r="Y88" s="14"/>
      <c r="Z88" s="14"/>
      <c r="AA88" s="14"/>
      <c r="AB88" s="13"/>
      <c r="AC88" s="14"/>
    </row>
    <row r="89" spans="2:29">
      <c r="B89" s="10"/>
      <c r="C89" s="11"/>
      <c r="D89" s="14"/>
      <c r="E89" s="14"/>
      <c r="F89" s="14"/>
      <c r="G89" s="14"/>
      <c r="H89" s="14"/>
      <c r="I89" s="14"/>
      <c r="J89" s="14"/>
      <c r="K89" s="13"/>
      <c r="L89" s="14"/>
      <c r="M89" s="14"/>
      <c r="N89" s="14"/>
      <c r="O89" s="14"/>
      <c r="P89" s="14"/>
      <c r="Q89" s="14"/>
      <c r="R89" s="14"/>
      <c r="S89" s="14"/>
      <c r="T89" s="14"/>
      <c r="U89" s="14"/>
      <c r="V89" s="14"/>
      <c r="W89" s="14"/>
      <c r="X89" s="14"/>
      <c r="Y89" s="14"/>
      <c r="Z89" s="14"/>
      <c r="AA89" s="14"/>
      <c r="AB89" s="13"/>
      <c r="AC89" s="14"/>
    </row>
    <row r="90" spans="2:29">
      <c r="B90" s="10"/>
      <c r="C90" s="11"/>
      <c r="D90" s="14"/>
      <c r="E90" s="14"/>
      <c r="F90" s="14"/>
      <c r="G90" s="14"/>
      <c r="H90" s="14"/>
      <c r="I90" s="14"/>
      <c r="J90" s="14"/>
      <c r="K90" s="13"/>
      <c r="L90" s="14"/>
      <c r="M90" s="14"/>
      <c r="N90" s="14"/>
      <c r="O90" s="14"/>
      <c r="P90" s="14"/>
      <c r="Q90" s="14"/>
      <c r="R90" s="14"/>
      <c r="S90" s="14"/>
      <c r="T90" s="14"/>
      <c r="U90" s="14"/>
      <c r="V90" s="14"/>
      <c r="W90" s="14"/>
      <c r="X90" s="14"/>
      <c r="Y90" s="14"/>
      <c r="Z90" s="14"/>
      <c r="AA90" s="14"/>
      <c r="AB90" s="13"/>
      <c r="AC90" s="14"/>
    </row>
    <row r="91" spans="2:29">
      <c r="B91" s="10"/>
      <c r="C91" s="11"/>
      <c r="D91" s="14"/>
      <c r="E91" s="14"/>
      <c r="F91" s="14"/>
      <c r="G91" s="14"/>
      <c r="H91" s="14"/>
      <c r="I91" s="14"/>
      <c r="J91" s="14"/>
      <c r="K91" s="13"/>
      <c r="L91" s="14"/>
      <c r="M91" s="14"/>
      <c r="N91" s="14"/>
      <c r="O91" s="14"/>
      <c r="P91" s="14"/>
      <c r="Q91" s="14"/>
      <c r="R91" s="14"/>
      <c r="S91" s="14"/>
      <c r="T91" s="14"/>
      <c r="U91" s="14"/>
      <c r="V91" s="14"/>
      <c r="W91" s="14"/>
      <c r="X91" s="14"/>
      <c r="Y91" s="14"/>
      <c r="Z91" s="14"/>
      <c r="AA91" s="14"/>
      <c r="AB91" s="13"/>
      <c r="AC91" s="14"/>
    </row>
    <row r="92" spans="2:29">
      <c r="D92" s="14"/>
      <c r="E92" s="14"/>
      <c r="F92" s="14"/>
      <c r="G92" s="14"/>
      <c r="H92" s="14"/>
      <c r="I92" s="14"/>
      <c r="J92" s="14"/>
      <c r="K92" s="13"/>
      <c r="L92" s="14"/>
      <c r="M92" s="14"/>
      <c r="N92" s="14"/>
      <c r="O92" s="14"/>
      <c r="P92" s="14"/>
      <c r="Q92" s="14"/>
      <c r="R92" s="14"/>
      <c r="S92" s="14"/>
      <c r="T92" s="14"/>
      <c r="U92" s="14"/>
      <c r="V92" s="14"/>
      <c r="W92" s="14"/>
      <c r="X92" s="14"/>
      <c r="Y92" s="14"/>
      <c r="Z92" s="14"/>
      <c r="AA92" s="14"/>
      <c r="AB92" s="13"/>
      <c r="AC92" s="14"/>
    </row>
  </sheetData>
  <mergeCells count="6">
    <mergeCell ref="A1:AB1"/>
    <mergeCell ref="A3:A9"/>
    <mergeCell ref="A10:A27"/>
    <mergeCell ref="A28:A41"/>
    <mergeCell ref="A42:A44"/>
    <mergeCell ref="A45:A51"/>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60" zoomScaleNormal="60" topLeftCell="C52" workbookViewId="0">
      <selection activeCell="AC52" sqref="AC$1:AC$1048576"/>
    </sheetView>
  </sheetViews>
  <sheetFormatPr defaultColWidth="9.64601769911504" defaultRowHeight="13.5"/>
  <cols>
    <col min="1" max="1" width="4.52212389380531" style="24" customWidth="1"/>
    <col min="2" max="2" width="99.2743362831858" style="27" customWidth="1"/>
    <col min="3" max="3" width="43.4601769911504" customWidth="1"/>
    <col min="4" max="9" width="6.52212389380531" customWidth="1"/>
    <col min="10" max="10" width="10.5663716814159" customWidth="1"/>
    <col min="11" max="11" width="9" style="28"/>
    <col min="27" max="27" width="12.9380530973451" customWidth="1"/>
    <col min="28" max="28" width="9" style="28"/>
    <col min="29" max="29" width="19.4424778761062" customWidth="1"/>
  </cols>
  <sheetData>
    <row r="1" s="1" customFormat="1" spans="1:29">
      <c r="A1" s="2" t="s">
        <v>132</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204" customHeight="1" spans="1:29">
      <c r="A3" s="9" t="s">
        <v>133</v>
      </c>
      <c r="B3" s="10" t="s">
        <v>134</v>
      </c>
      <c r="C3" s="11" t="s">
        <v>135</v>
      </c>
      <c r="D3" s="12">
        <v>5</v>
      </c>
      <c r="E3" s="12">
        <v>5</v>
      </c>
      <c r="F3" s="12">
        <v>5</v>
      </c>
      <c r="G3" s="12">
        <v>5</v>
      </c>
      <c r="H3" s="12">
        <v>5</v>
      </c>
      <c r="I3" s="12">
        <v>5</v>
      </c>
      <c r="J3" s="12">
        <v>5</v>
      </c>
      <c r="K3" s="13">
        <f t="shared" ref="K3:K22" si="0">SUM(D3:J3)</f>
        <v>35</v>
      </c>
      <c r="L3" s="12">
        <v>5</v>
      </c>
      <c r="M3" s="12">
        <v>5</v>
      </c>
      <c r="N3" s="12">
        <v>3</v>
      </c>
      <c r="O3" s="12">
        <v>5</v>
      </c>
      <c r="P3" s="12">
        <v>1</v>
      </c>
      <c r="Q3" s="12">
        <v>4</v>
      </c>
      <c r="R3" s="12">
        <v>4</v>
      </c>
      <c r="S3" s="12">
        <v>5</v>
      </c>
      <c r="T3" s="12">
        <v>5</v>
      </c>
      <c r="U3" s="12">
        <v>5</v>
      </c>
      <c r="V3" s="12">
        <v>5</v>
      </c>
      <c r="W3" s="12">
        <v>3</v>
      </c>
      <c r="X3" s="12">
        <v>1</v>
      </c>
      <c r="Y3" s="12">
        <v>4</v>
      </c>
      <c r="Z3" s="12">
        <v>3</v>
      </c>
      <c r="AA3" s="12">
        <v>4</v>
      </c>
      <c r="AB3" s="13">
        <f t="shared" ref="AB3:AB22" si="1">SUM(L3:AA3)</f>
        <v>62</v>
      </c>
      <c r="AC3" s="14"/>
    </row>
    <row r="4" ht="135" spans="1:29">
      <c r="A4" s="15"/>
      <c r="B4" s="10" t="s">
        <v>136</v>
      </c>
      <c r="C4" s="11" t="s">
        <v>137</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3</v>
      </c>
      <c r="X4" s="12">
        <v>1</v>
      </c>
      <c r="Y4" s="12">
        <v>3</v>
      </c>
      <c r="Z4" s="12">
        <v>3</v>
      </c>
      <c r="AA4" s="12">
        <v>3</v>
      </c>
      <c r="AB4" s="13">
        <f t="shared" si="1"/>
        <v>57</v>
      </c>
      <c r="AC4" s="14"/>
    </row>
    <row r="5" ht="189" spans="1:29">
      <c r="A5" s="15"/>
      <c r="B5" s="10" t="s">
        <v>138</v>
      </c>
      <c r="C5" s="11" t="s">
        <v>139</v>
      </c>
      <c r="D5" s="12">
        <v>5</v>
      </c>
      <c r="E5" s="12">
        <v>5</v>
      </c>
      <c r="F5" s="12">
        <v>5</v>
      </c>
      <c r="G5" s="12">
        <v>5</v>
      </c>
      <c r="H5" s="12">
        <v>5</v>
      </c>
      <c r="I5" s="12">
        <v>5</v>
      </c>
      <c r="J5" s="12">
        <v>5</v>
      </c>
      <c r="K5" s="13">
        <f t="shared" si="0"/>
        <v>35</v>
      </c>
      <c r="L5" s="12">
        <v>5</v>
      </c>
      <c r="M5" s="12">
        <v>5</v>
      </c>
      <c r="N5" s="12">
        <v>3</v>
      </c>
      <c r="O5" s="12">
        <v>4</v>
      </c>
      <c r="P5" s="12">
        <v>3</v>
      </c>
      <c r="Q5" s="12">
        <v>4</v>
      </c>
      <c r="R5" s="12">
        <v>4</v>
      </c>
      <c r="S5" s="12">
        <v>3</v>
      </c>
      <c r="T5" s="12">
        <v>5</v>
      </c>
      <c r="U5" s="12">
        <v>5</v>
      </c>
      <c r="V5" s="12">
        <v>5</v>
      </c>
      <c r="W5" s="12">
        <v>4</v>
      </c>
      <c r="X5" s="12">
        <v>2</v>
      </c>
      <c r="Y5" s="12">
        <v>4</v>
      </c>
      <c r="Z5" s="12">
        <v>3</v>
      </c>
      <c r="AA5" s="12">
        <v>4</v>
      </c>
      <c r="AB5" s="13">
        <f t="shared" si="1"/>
        <v>63</v>
      </c>
      <c r="AC5" s="14"/>
    </row>
    <row r="6" ht="94" customHeight="1" spans="1:29">
      <c r="A6" s="15"/>
      <c r="B6" s="10" t="s">
        <v>140</v>
      </c>
      <c r="C6" s="11" t="s">
        <v>141</v>
      </c>
      <c r="D6" s="12">
        <v>5</v>
      </c>
      <c r="E6" s="12">
        <v>5</v>
      </c>
      <c r="F6" s="12">
        <v>5</v>
      </c>
      <c r="G6" s="12">
        <v>5</v>
      </c>
      <c r="H6" s="12">
        <v>5</v>
      </c>
      <c r="I6" s="12">
        <v>5</v>
      </c>
      <c r="J6" s="12">
        <v>5</v>
      </c>
      <c r="K6" s="13">
        <f t="shared" si="0"/>
        <v>35</v>
      </c>
      <c r="L6" s="12">
        <v>5</v>
      </c>
      <c r="M6" s="12">
        <v>4</v>
      </c>
      <c r="N6" s="12">
        <v>3</v>
      </c>
      <c r="O6" s="12">
        <v>5</v>
      </c>
      <c r="P6" s="12">
        <v>2</v>
      </c>
      <c r="Q6" s="12">
        <v>4</v>
      </c>
      <c r="R6" s="12">
        <v>4</v>
      </c>
      <c r="S6" s="12">
        <v>5</v>
      </c>
      <c r="T6" s="12">
        <v>5</v>
      </c>
      <c r="U6" s="12">
        <v>5</v>
      </c>
      <c r="V6" s="12">
        <v>5</v>
      </c>
      <c r="W6" s="12">
        <v>4</v>
      </c>
      <c r="X6" s="12">
        <v>1</v>
      </c>
      <c r="Y6" s="12">
        <v>4</v>
      </c>
      <c r="Z6" s="12">
        <v>3</v>
      </c>
      <c r="AA6" s="12">
        <v>4</v>
      </c>
      <c r="AB6" s="13">
        <f t="shared" si="1"/>
        <v>63</v>
      </c>
      <c r="AC6" s="14"/>
    </row>
    <row r="7" ht="135" spans="1:29">
      <c r="A7" s="15"/>
      <c r="B7" s="10" t="s">
        <v>142</v>
      </c>
      <c r="C7" s="11" t="s">
        <v>143</v>
      </c>
      <c r="D7" s="12">
        <v>5</v>
      </c>
      <c r="E7" s="12">
        <v>5</v>
      </c>
      <c r="F7" s="12">
        <v>5</v>
      </c>
      <c r="G7" s="12">
        <v>5</v>
      </c>
      <c r="H7" s="12">
        <v>5</v>
      </c>
      <c r="I7" s="12">
        <v>5</v>
      </c>
      <c r="J7" s="12">
        <v>5</v>
      </c>
      <c r="K7" s="13">
        <f t="shared" si="0"/>
        <v>35</v>
      </c>
      <c r="L7" s="12">
        <v>5</v>
      </c>
      <c r="M7" s="12">
        <v>5</v>
      </c>
      <c r="N7" s="12">
        <v>3</v>
      </c>
      <c r="O7" s="12">
        <v>4</v>
      </c>
      <c r="P7" s="12">
        <v>2</v>
      </c>
      <c r="Q7" s="12">
        <v>4</v>
      </c>
      <c r="R7" s="12">
        <v>4</v>
      </c>
      <c r="S7" s="12">
        <v>3</v>
      </c>
      <c r="T7" s="12">
        <v>5</v>
      </c>
      <c r="U7" s="12">
        <v>5</v>
      </c>
      <c r="V7" s="12">
        <v>5</v>
      </c>
      <c r="W7" s="12">
        <v>4</v>
      </c>
      <c r="X7" s="12">
        <v>1</v>
      </c>
      <c r="Y7" s="12">
        <v>3</v>
      </c>
      <c r="Z7" s="12">
        <v>3</v>
      </c>
      <c r="AA7" s="12">
        <v>3</v>
      </c>
      <c r="AB7" s="13">
        <f t="shared" si="1"/>
        <v>59</v>
      </c>
      <c r="AC7" s="14"/>
    </row>
    <row r="8" ht="96" customHeight="1" spans="1:29">
      <c r="A8" s="15"/>
      <c r="B8" s="10" t="s">
        <v>144</v>
      </c>
      <c r="C8" s="11" t="s">
        <v>145</v>
      </c>
      <c r="D8" s="12">
        <v>5</v>
      </c>
      <c r="E8" s="12">
        <v>5</v>
      </c>
      <c r="F8" s="12">
        <v>5</v>
      </c>
      <c r="G8" s="12">
        <v>5</v>
      </c>
      <c r="H8" s="12">
        <v>5</v>
      </c>
      <c r="I8" s="12">
        <v>5</v>
      </c>
      <c r="J8" s="12">
        <v>5</v>
      </c>
      <c r="K8" s="13">
        <f t="shared" si="0"/>
        <v>35</v>
      </c>
      <c r="L8" s="12">
        <v>5</v>
      </c>
      <c r="M8" s="12">
        <v>5</v>
      </c>
      <c r="N8" s="12">
        <v>3</v>
      </c>
      <c r="O8" s="12">
        <v>4</v>
      </c>
      <c r="P8" s="12">
        <v>2</v>
      </c>
      <c r="Q8" s="12">
        <v>4</v>
      </c>
      <c r="R8" s="12">
        <v>4</v>
      </c>
      <c r="S8" s="12">
        <v>3</v>
      </c>
      <c r="T8" s="12">
        <v>5</v>
      </c>
      <c r="U8" s="12">
        <v>5</v>
      </c>
      <c r="V8" s="12">
        <v>5</v>
      </c>
      <c r="W8" s="12">
        <v>4</v>
      </c>
      <c r="X8" s="12">
        <v>2</v>
      </c>
      <c r="Y8" s="12">
        <v>4</v>
      </c>
      <c r="Z8" s="12">
        <v>3</v>
      </c>
      <c r="AA8" s="12">
        <v>4</v>
      </c>
      <c r="AB8" s="13">
        <f t="shared" si="1"/>
        <v>62</v>
      </c>
      <c r="AC8" s="14"/>
    </row>
    <row r="9" ht="135" spans="1:29">
      <c r="A9" s="15"/>
      <c r="B9" s="10" t="s">
        <v>146</v>
      </c>
      <c r="C9" s="11" t="s">
        <v>147</v>
      </c>
      <c r="D9" s="12">
        <v>5</v>
      </c>
      <c r="E9" s="12">
        <v>5</v>
      </c>
      <c r="F9" s="12">
        <v>4</v>
      </c>
      <c r="G9" s="12">
        <v>5</v>
      </c>
      <c r="H9" s="12">
        <v>5</v>
      </c>
      <c r="I9" s="12">
        <v>5</v>
      </c>
      <c r="J9" s="12">
        <v>5</v>
      </c>
      <c r="K9" s="13">
        <f t="shared" si="0"/>
        <v>34</v>
      </c>
      <c r="L9" s="12">
        <v>5</v>
      </c>
      <c r="M9" s="12">
        <v>4</v>
      </c>
      <c r="N9" s="12">
        <v>2</v>
      </c>
      <c r="O9" s="12">
        <v>5</v>
      </c>
      <c r="P9" s="12">
        <v>1</v>
      </c>
      <c r="Q9" s="12">
        <v>4</v>
      </c>
      <c r="R9" s="12">
        <v>4</v>
      </c>
      <c r="S9" s="12">
        <v>5</v>
      </c>
      <c r="T9" s="12">
        <v>5</v>
      </c>
      <c r="U9" s="12">
        <v>5</v>
      </c>
      <c r="V9" s="12">
        <v>5</v>
      </c>
      <c r="W9" s="12">
        <v>4</v>
      </c>
      <c r="X9" s="12">
        <v>1</v>
      </c>
      <c r="Y9" s="12">
        <v>4</v>
      </c>
      <c r="Z9" s="12">
        <v>3</v>
      </c>
      <c r="AA9" s="12">
        <v>4</v>
      </c>
      <c r="AB9" s="13">
        <f t="shared" si="1"/>
        <v>61</v>
      </c>
      <c r="AC9" s="14"/>
    </row>
    <row r="10" ht="189" spans="1:29">
      <c r="A10" s="15" t="s">
        <v>42</v>
      </c>
      <c r="B10" s="10" t="s">
        <v>148</v>
      </c>
      <c r="C10" s="11" t="s">
        <v>149</v>
      </c>
      <c r="D10" s="12">
        <v>5</v>
      </c>
      <c r="E10" s="12">
        <v>5</v>
      </c>
      <c r="F10" s="12">
        <v>5</v>
      </c>
      <c r="G10" s="12">
        <v>5</v>
      </c>
      <c r="H10" s="12">
        <v>5</v>
      </c>
      <c r="I10" s="12">
        <v>5</v>
      </c>
      <c r="J10" s="12">
        <v>5</v>
      </c>
      <c r="K10" s="13">
        <f t="shared" si="0"/>
        <v>35</v>
      </c>
      <c r="L10" s="12">
        <v>5</v>
      </c>
      <c r="M10" s="12">
        <v>5</v>
      </c>
      <c r="N10" s="12">
        <v>3</v>
      </c>
      <c r="O10" s="12">
        <v>5</v>
      </c>
      <c r="P10" s="12">
        <v>2</v>
      </c>
      <c r="Q10" s="12">
        <v>4</v>
      </c>
      <c r="R10" s="12">
        <v>4</v>
      </c>
      <c r="S10" s="12">
        <v>5</v>
      </c>
      <c r="T10" s="12">
        <v>5</v>
      </c>
      <c r="U10" s="12">
        <v>5</v>
      </c>
      <c r="V10" s="12">
        <v>5</v>
      </c>
      <c r="W10" s="12">
        <v>4</v>
      </c>
      <c r="X10" s="12">
        <v>3</v>
      </c>
      <c r="Y10" s="12">
        <v>4</v>
      </c>
      <c r="Z10" s="12">
        <v>3</v>
      </c>
      <c r="AA10" s="12">
        <v>4</v>
      </c>
      <c r="AB10" s="13">
        <f t="shared" si="1"/>
        <v>66</v>
      </c>
      <c r="AC10" s="14"/>
    </row>
    <row r="11" ht="216" spans="1:29">
      <c r="A11" s="15"/>
      <c r="B11" s="10" t="s">
        <v>150</v>
      </c>
      <c r="C11" s="11" t="s">
        <v>151</v>
      </c>
      <c r="D11" s="12">
        <v>5</v>
      </c>
      <c r="E11" s="12">
        <v>5</v>
      </c>
      <c r="F11" s="12">
        <v>5</v>
      </c>
      <c r="G11" s="12">
        <v>5</v>
      </c>
      <c r="H11" s="12">
        <v>5</v>
      </c>
      <c r="I11" s="12">
        <v>5</v>
      </c>
      <c r="J11" s="12">
        <v>5</v>
      </c>
      <c r="K11" s="13">
        <f t="shared" si="0"/>
        <v>35</v>
      </c>
      <c r="L11" s="12">
        <v>5</v>
      </c>
      <c r="M11" s="12">
        <v>5</v>
      </c>
      <c r="N11" s="12">
        <v>3</v>
      </c>
      <c r="O11" s="12">
        <v>5</v>
      </c>
      <c r="P11" s="12">
        <v>3</v>
      </c>
      <c r="Q11" s="12">
        <v>4</v>
      </c>
      <c r="R11" s="12">
        <v>5</v>
      </c>
      <c r="S11" s="12">
        <v>5</v>
      </c>
      <c r="T11" s="12">
        <v>5</v>
      </c>
      <c r="U11" s="12">
        <v>5</v>
      </c>
      <c r="V11" s="12">
        <v>5</v>
      </c>
      <c r="W11" s="12">
        <v>5</v>
      </c>
      <c r="X11" s="12">
        <v>3</v>
      </c>
      <c r="Y11" s="12">
        <v>4</v>
      </c>
      <c r="Z11" s="12">
        <v>3</v>
      </c>
      <c r="AA11" s="12">
        <v>4</v>
      </c>
      <c r="AB11" s="13">
        <f t="shared" si="1"/>
        <v>69</v>
      </c>
      <c r="AC11" s="14"/>
    </row>
    <row r="12" ht="175.5" spans="1:29">
      <c r="A12" s="15"/>
      <c r="B12" s="10" t="s">
        <v>152</v>
      </c>
      <c r="C12" s="11" t="s">
        <v>153</v>
      </c>
      <c r="D12" s="12">
        <v>5</v>
      </c>
      <c r="E12" s="12">
        <v>5</v>
      </c>
      <c r="F12" s="12">
        <v>5</v>
      </c>
      <c r="G12" s="12">
        <v>5</v>
      </c>
      <c r="H12" s="12">
        <v>5</v>
      </c>
      <c r="I12" s="12">
        <v>5</v>
      </c>
      <c r="J12" s="12">
        <v>5</v>
      </c>
      <c r="K12" s="13">
        <f t="shared" si="0"/>
        <v>35</v>
      </c>
      <c r="L12" s="12">
        <v>5</v>
      </c>
      <c r="M12" s="12">
        <v>5</v>
      </c>
      <c r="N12" s="12">
        <v>3</v>
      </c>
      <c r="O12" s="12">
        <v>5</v>
      </c>
      <c r="P12" s="12">
        <v>4</v>
      </c>
      <c r="Q12" s="12">
        <v>3</v>
      </c>
      <c r="R12" s="12">
        <v>5</v>
      </c>
      <c r="S12" s="12">
        <v>5</v>
      </c>
      <c r="T12" s="12">
        <v>5</v>
      </c>
      <c r="U12" s="12">
        <v>5</v>
      </c>
      <c r="V12" s="12">
        <v>5</v>
      </c>
      <c r="W12" s="12">
        <v>5</v>
      </c>
      <c r="X12" s="12">
        <v>3</v>
      </c>
      <c r="Y12" s="12">
        <v>4</v>
      </c>
      <c r="Z12" s="12">
        <v>3</v>
      </c>
      <c r="AA12" s="12">
        <v>4</v>
      </c>
      <c r="AB12" s="13">
        <f t="shared" si="1"/>
        <v>69</v>
      </c>
      <c r="AC12" s="14"/>
    </row>
    <row r="13" ht="202.5" spans="1:29">
      <c r="A13" s="15"/>
      <c r="B13" s="10" t="s">
        <v>154</v>
      </c>
      <c r="C13" s="11" t="s">
        <v>155</v>
      </c>
      <c r="D13" s="12">
        <v>5</v>
      </c>
      <c r="E13" s="12">
        <v>5</v>
      </c>
      <c r="F13" s="12">
        <v>5</v>
      </c>
      <c r="G13" s="12">
        <v>5</v>
      </c>
      <c r="H13" s="12">
        <v>5</v>
      </c>
      <c r="I13" s="12">
        <v>5</v>
      </c>
      <c r="J13" s="12">
        <v>5</v>
      </c>
      <c r="K13" s="13">
        <f t="shared" si="0"/>
        <v>35</v>
      </c>
      <c r="L13" s="12">
        <v>5</v>
      </c>
      <c r="M13" s="12">
        <v>5</v>
      </c>
      <c r="N13" s="12">
        <v>3</v>
      </c>
      <c r="O13" s="12">
        <v>5</v>
      </c>
      <c r="P13" s="12">
        <v>3</v>
      </c>
      <c r="Q13" s="12">
        <v>4</v>
      </c>
      <c r="R13" s="12">
        <v>5</v>
      </c>
      <c r="S13" s="12">
        <v>5</v>
      </c>
      <c r="T13" s="12">
        <v>5</v>
      </c>
      <c r="U13" s="12">
        <v>5</v>
      </c>
      <c r="V13" s="12">
        <v>5</v>
      </c>
      <c r="W13" s="12">
        <v>5</v>
      </c>
      <c r="X13" s="12">
        <v>3</v>
      </c>
      <c r="Y13" s="12">
        <v>4</v>
      </c>
      <c r="Z13" s="12">
        <v>3</v>
      </c>
      <c r="AA13" s="12">
        <v>4</v>
      </c>
      <c r="AB13" s="13">
        <f t="shared" si="1"/>
        <v>69</v>
      </c>
      <c r="AC13" s="14"/>
    </row>
    <row r="14" ht="162" spans="1:29">
      <c r="A14" s="15"/>
      <c r="B14" s="10" t="s">
        <v>156</v>
      </c>
      <c r="C14" s="11" t="s">
        <v>157</v>
      </c>
      <c r="D14" s="12">
        <v>5</v>
      </c>
      <c r="E14" s="12">
        <v>5</v>
      </c>
      <c r="F14" s="12">
        <v>5</v>
      </c>
      <c r="G14" s="12">
        <v>5</v>
      </c>
      <c r="H14" s="12">
        <v>5</v>
      </c>
      <c r="I14" s="12">
        <v>5</v>
      </c>
      <c r="J14" s="12">
        <v>5</v>
      </c>
      <c r="K14" s="13">
        <f t="shared" si="0"/>
        <v>35</v>
      </c>
      <c r="L14" s="12">
        <v>5</v>
      </c>
      <c r="M14" s="12">
        <v>5</v>
      </c>
      <c r="N14" s="12">
        <v>3</v>
      </c>
      <c r="O14" s="12">
        <v>5</v>
      </c>
      <c r="P14" s="12">
        <v>4</v>
      </c>
      <c r="Q14" s="12">
        <v>4</v>
      </c>
      <c r="R14" s="12">
        <v>5</v>
      </c>
      <c r="S14" s="12">
        <v>5</v>
      </c>
      <c r="T14" s="12">
        <v>5</v>
      </c>
      <c r="U14" s="12">
        <v>5</v>
      </c>
      <c r="V14" s="12">
        <v>5</v>
      </c>
      <c r="W14" s="12">
        <v>5</v>
      </c>
      <c r="X14" s="12">
        <v>3</v>
      </c>
      <c r="Y14" s="12">
        <v>4</v>
      </c>
      <c r="Z14" s="12">
        <v>3</v>
      </c>
      <c r="AA14" s="12">
        <v>4</v>
      </c>
      <c r="AB14" s="13">
        <f t="shared" si="1"/>
        <v>70</v>
      </c>
      <c r="AC14" s="14"/>
    </row>
    <row r="15" ht="216" spans="1:29">
      <c r="A15" s="15"/>
      <c r="B15" s="10" t="s">
        <v>158</v>
      </c>
      <c r="C15" s="11" t="s">
        <v>159</v>
      </c>
      <c r="D15" s="12">
        <v>5</v>
      </c>
      <c r="E15" s="12">
        <v>5</v>
      </c>
      <c r="F15" s="12">
        <v>3</v>
      </c>
      <c r="G15" s="12">
        <v>5</v>
      </c>
      <c r="H15" s="12">
        <v>5</v>
      </c>
      <c r="I15" s="12">
        <v>5</v>
      </c>
      <c r="J15" s="12">
        <v>5</v>
      </c>
      <c r="K15" s="13">
        <f t="shared" si="0"/>
        <v>33</v>
      </c>
      <c r="L15" s="12">
        <v>5</v>
      </c>
      <c r="M15" s="12">
        <v>5</v>
      </c>
      <c r="N15" s="12">
        <v>2</v>
      </c>
      <c r="O15" s="12">
        <v>5</v>
      </c>
      <c r="P15" s="12">
        <v>5</v>
      </c>
      <c r="Q15" s="12">
        <v>5</v>
      </c>
      <c r="R15" s="12">
        <v>4</v>
      </c>
      <c r="S15" s="12">
        <v>5</v>
      </c>
      <c r="T15" s="12">
        <v>5</v>
      </c>
      <c r="U15" s="12">
        <v>5</v>
      </c>
      <c r="V15" s="12">
        <v>4</v>
      </c>
      <c r="W15" s="12">
        <v>4</v>
      </c>
      <c r="X15" s="12">
        <v>4</v>
      </c>
      <c r="Y15" s="12">
        <v>4</v>
      </c>
      <c r="Z15" s="12">
        <v>3</v>
      </c>
      <c r="AA15" s="12">
        <v>4</v>
      </c>
      <c r="AB15" s="13">
        <f t="shared" si="1"/>
        <v>69</v>
      </c>
      <c r="AC15" s="14"/>
    </row>
    <row r="16" ht="189" spans="1:29">
      <c r="A16" s="15"/>
      <c r="B16" s="10" t="s">
        <v>160</v>
      </c>
      <c r="C16" s="11" t="s">
        <v>161</v>
      </c>
      <c r="D16" s="12">
        <v>5</v>
      </c>
      <c r="E16" s="12">
        <v>5</v>
      </c>
      <c r="F16" s="12">
        <v>5</v>
      </c>
      <c r="G16" s="12">
        <v>5</v>
      </c>
      <c r="H16" s="12">
        <v>5</v>
      </c>
      <c r="I16" s="12">
        <v>5</v>
      </c>
      <c r="J16" s="12">
        <v>5</v>
      </c>
      <c r="K16" s="13">
        <f t="shared" si="0"/>
        <v>35</v>
      </c>
      <c r="L16" s="12">
        <v>5</v>
      </c>
      <c r="M16" s="12">
        <v>5</v>
      </c>
      <c r="N16" s="12">
        <v>3</v>
      </c>
      <c r="O16" s="12">
        <v>5</v>
      </c>
      <c r="P16" s="12">
        <v>4</v>
      </c>
      <c r="Q16" s="12">
        <v>4</v>
      </c>
      <c r="R16" s="12">
        <v>4</v>
      </c>
      <c r="S16" s="12">
        <v>5</v>
      </c>
      <c r="T16" s="12">
        <v>5</v>
      </c>
      <c r="U16" s="12">
        <v>5</v>
      </c>
      <c r="V16" s="12">
        <v>5</v>
      </c>
      <c r="W16" s="12">
        <v>4</v>
      </c>
      <c r="X16" s="12">
        <v>4</v>
      </c>
      <c r="Y16" s="12">
        <v>4</v>
      </c>
      <c r="Z16" s="12">
        <v>3</v>
      </c>
      <c r="AA16" s="12">
        <v>4</v>
      </c>
      <c r="AB16" s="13">
        <f t="shared" si="1"/>
        <v>69</v>
      </c>
      <c r="AC16" s="14"/>
    </row>
    <row r="17" ht="148.5" spans="1:29">
      <c r="A17" s="15"/>
      <c r="B17" s="10" t="s">
        <v>162</v>
      </c>
      <c r="C17" s="11" t="s">
        <v>163</v>
      </c>
      <c r="D17" s="12">
        <v>5</v>
      </c>
      <c r="E17" s="12">
        <v>5</v>
      </c>
      <c r="F17" s="12">
        <v>4</v>
      </c>
      <c r="G17" s="12">
        <v>5</v>
      </c>
      <c r="H17" s="12">
        <v>5</v>
      </c>
      <c r="I17" s="12">
        <v>5</v>
      </c>
      <c r="J17" s="12">
        <v>5</v>
      </c>
      <c r="K17" s="13">
        <f t="shared" si="0"/>
        <v>34</v>
      </c>
      <c r="L17" s="12">
        <v>5</v>
      </c>
      <c r="M17" s="12">
        <v>5</v>
      </c>
      <c r="N17" s="12">
        <v>3</v>
      </c>
      <c r="O17" s="12">
        <v>5</v>
      </c>
      <c r="P17" s="12">
        <v>3</v>
      </c>
      <c r="Q17" s="12">
        <v>4</v>
      </c>
      <c r="R17" s="12">
        <v>4</v>
      </c>
      <c r="S17" s="12">
        <v>5</v>
      </c>
      <c r="T17" s="12">
        <v>5</v>
      </c>
      <c r="U17" s="12">
        <v>5</v>
      </c>
      <c r="V17" s="12">
        <v>5</v>
      </c>
      <c r="W17" s="12">
        <v>5</v>
      </c>
      <c r="X17" s="12">
        <v>3</v>
      </c>
      <c r="Y17" s="12">
        <v>4</v>
      </c>
      <c r="Z17" s="12">
        <v>3</v>
      </c>
      <c r="AA17" s="12">
        <v>4</v>
      </c>
      <c r="AB17" s="13">
        <f t="shared" si="1"/>
        <v>68</v>
      </c>
      <c r="AC17" s="14"/>
    </row>
    <row r="18" ht="202.5" spans="1:29">
      <c r="A18" s="15"/>
      <c r="B18" s="10" t="s">
        <v>164</v>
      </c>
      <c r="C18" s="11" t="s">
        <v>165</v>
      </c>
      <c r="D18" s="12">
        <v>5</v>
      </c>
      <c r="E18" s="12">
        <v>5</v>
      </c>
      <c r="F18" s="12">
        <v>5</v>
      </c>
      <c r="G18" s="12">
        <v>5</v>
      </c>
      <c r="H18" s="12">
        <v>5</v>
      </c>
      <c r="I18" s="12">
        <v>5</v>
      </c>
      <c r="J18" s="12">
        <v>5</v>
      </c>
      <c r="K18" s="13">
        <f t="shared" si="0"/>
        <v>35</v>
      </c>
      <c r="L18" s="12">
        <v>5</v>
      </c>
      <c r="M18" s="12">
        <v>5</v>
      </c>
      <c r="N18" s="12">
        <v>2</v>
      </c>
      <c r="O18" s="12">
        <v>5</v>
      </c>
      <c r="P18" s="12">
        <v>3</v>
      </c>
      <c r="Q18" s="12">
        <v>4</v>
      </c>
      <c r="R18" s="12">
        <v>5</v>
      </c>
      <c r="S18" s="12">
        <v>5</v>
      </c>
      <c r="T18" s="12">
        <v>5</v>
      </c>
      <c r="U18" s="12">
        <v>5</v>
      </c>
      <c r="V18" s="12">
        <v>5</v>
      </c>
      <c r="W18" s="12">
        <v>5</v>
      </c>
      <c r="X18" s="12">
        <v>3</v>
      </c>
      <c r="Y18" s="12">
        <v>4</v>
      </c>
      <c r="Z18" s="12">
        <v>3</v>
      </c>
      <c r="AA18" s="12">
        <v>4</v>
      </c>
      <c r="AB18" s="13">
        <f t="shared" si="1"/>
        <v>68</v>
      </c>
      <c r="AC18" s="14"/>
    </row>
    <row r="19" ht="256.5" spans="1:29">
      <c r="A19" s="15"/>
      <c r="B19" s="10" t="s">
        <v>166</v>
      </c>
      <c r="C19" s="11" t="s">
        <v>167</v>
      </c>
      <c r="D19" s="12">
        <v>5</v>
      </c>
      <c r="E19" s="12">
        <v>5</v>
      </c>
      <c r="F19" s="12">
        <v>4</v>
      </c>
      <c r="G19" s="12">
        <v>5</v>
      </c>
      <c r="H19" s="12">
        <v>5</v>
      </c>
      <c r="I19" s="12">
        <v>5</v>
      </c>
      <c r="J19" s="12">
        <v>5</v>
      </c>
      <c r="K19" s="13">
        <f t="shared" si="0"/>
        <v>34</v>
      </c>
      <c r="L19" s="12">
        <v>5</v>
      </c>
      <c r="M19" s="12">
        <v>5</v>
      </c>
      <c r="N19" s="12">
        <v>3</v>
      </c>
      <c r="O19" s="12">
        <v>5</v>
      </c>
      <c r="P19" s="12">
        <v>4</v>
      </c>
      <c r="Q19" s="12">
        <v>4</v>
      </c>
      <c r="R19" s="12">
        <v>4</v>
      </c>
      <c r="S19" s="12">
        <v>5</v>
      </c>
      <c r="T19" s="12">
        <v>5</v>
      </c>
      <c r="U19" s="12">
        <v>5</v>
      </c>
      <c r="V19" s="12">
        <v>5</v>
      </c>
      <c r="W19" s="12">
        <v>4</v>
      </c>
      <c r="X19" s="12">
        <v>3</v>
      </c>
      <c r="Y19" s="12">
        <v>4</v>
      </c>
      <c r="Z19" s="12">
        <v>3</v>
      </c>
      <c r="AA19" s="12">
        <v>4</v>
      </c>
      <c r="AB19" s="13">
        <f t="shared" si="1"/>
        <v>68</v>
      </c>
      <c r="AC19" s="14"/>
    </row>
    <row r="20" ht="148.5" spans="1:29">
      <c r="A20" s="15"/>
      <c r="B20" s="10" t="s">
        <v>168</v>
      </c>
      <c r="C20" s="11" t="s">
        <v>169</v>
      </c>
      <c r="D20" s="12">
        <v>5</v>
      </c>
      <c r="E20" s="12">
        <v>5</v>
      </c>
      <c r="F20" s="12">
        <v>4</v>
      </c>
      <c r="G20" s="12">
        <v>5</v>
      </c>
      <c r="H20" s="12">
        <v>5</v>
      </c>
      <c r="I20" s="12">
        <v>5</v>
      </c>
      <c r="J20" s="12">
        <v>5</v>
      </c>
      <c r="K20" s="13">
        <f t="shared" si="0"/>
        <v>34</v>
      </c>
      <c r="L20" s="12">
        <v>5</v>
      </c>
      <c r="M20" s="12">
        <v>4</v>
      </c>
      <c r="N20" s="12">
        <v>3</v>
      </c>
      <c r="O20" s="12">
        <v>4</v>
      </c>
      <c r="P20" s="12">
        <v>1</v>
      </c>
      <c r="Q20" s="12">
        <v>4</v>
      </c>
      <c r="R20" s="12">
        <v>4</v>
      </c>
      <c r="S20" s="12">
        <v>5</v>
      </c>
      <c r="T20" s="12">
        <v>5</v>
      </c>
      <c r="U20" s="12">
        <v>5</v>
      </c>
      <c r="V20" s="12">
        <v>5</v>
      </c>
      <c r="W20" s="12">
        <v>4</v>
      </c>
      <c r="X20" s="12">
        <v>2</v>
      </c>
      <c r="Y20" s="12">
        <v>4</v>
      </c>
      <c r="Z20" s="12">
        <v>3</v>
      </c>
      <c r="AA20" s="12">
        <v>4</v>
      </c>
      <c r="AB20" s="13">
        <f t="shared" si="1"/>
        <v>62</v>
      </c>
      <c r="AC20" s="14"/>
    </row>
    <row r="21" ht="162" spans="1:29">
      <c r="A21" s="15"/>
      <c r="B21" s="10" t="s">
        <v>170</v>
      </c>
      <c r="C21" s="11" t="s">
        <v>171</v>
      </c>
      <c r="D21" s="12">
        <v>5</v>
      </c>
      <c r="E21" s="12">
        <v>5</v>
      </c>
      <c r="F21" s="12">
        <v>4</v>
      </c>
      <c r="G21" s="12">
        <v>5</v>
      </c>
      <c r="H21" s="12">
        <v>5</v>
      </c>
      <c r="I21" s="12">
        <v>5</v>
      </c>
      <c r="J21" s="12">
        <v>5</v>
      </c>
      <c r="K21" s="13">
        <f t="shared" si="0"/>
        <v>34</v>
      </c>
      <c r="L21" s="12">
        <v>5</v>
      </c>
      <c r="M21" s="12">
        <v>4</v>
      </c>
      <c r="N21" s="12">
        <v>3</v>
      </c>
      <c r="O21" s="12">
        <v>4</v>
      </c>
      <c r="P21" s="12">
        <v>2</v>
      </c>
      <c r="Q21" s="12">
        <v>4</v>
      </c>
      <c r="R21" s="12">
        <v>4</v>
      </c>
      <c r="S21" s="12">
        <v>5</v>
      </c>
      <c r="T21" s="12">
        <v>5</v>
      </c>
      <c r="U21" s="12">
        <v>5</v>
      </c>
      <c r="V21" s="12">
        <v>5</v>
      </c>
      <c r="W21" s="12">
        <v>4</v>
      </c>
      <c r="X21" s="12">
        <v>2</v>
      </c>
      <c r="Y21" s="12">
        <v>4</v>
      </c>
      <c r="Z21" s="12">
        <v>3</v>
      </c>
      <c r="AA21" s="12">
        <v>4</v>
      </c>
      <c r="AB21" s="13">
        <f t="shared" si="1"/>
        <v>63</v>
      </c>
      <c r="AC21" s="14"/>
    </row>
    <row r="22" ht="208" customHeight="1" spans="1:29">
      <c r="A22" s="15"/>
      <c r="B22" s="10" t="s">
        <v>172</v>
      </c>
      <c r="C22" s="11" t="s">
        <v>173</v>
      </c>
      <c r="D22" s="12">
        <v>5</v>
      </c>
      <c r="E22" s="12">
        <v>5</v>
      </c>
      <c r="F22" s="12">
        <v>5</v>
      </c>
      <c r="G22" s="12">
        <v>5</v>
      </c>
      <c r="H22" s="12">
        <v>5</v>
      </c>
      <c r="I22" s="12">
        <v>5</v>
      </c>
      <c r="J22" s="12">
        <v>5</v>
      </c>
      <c r="K22" s="13">
        <f t="shared" si="0"/>
        <v>35</v>
      </c>
      <c r="L22" s="12">
        <v>5</v>
      </c>
      <c r="M22" s="12">
        <v>5</v>
      </c>
      <c r="N22" s="12">
        <v>3</v>
      </c>
      <c r="O22" s="12">
        <v>5</v>
      </c>
      <c r="P22" s="12">
        <v>4</v>
      </c>
      <c r="Q22" s="12">
        <v>4</v>
      </c>
      <c r="R22" s="12">
        <v>4</v>
      </c>
      <c r="S22" s="12">
        <v>5</v>
      </c>
      <c r="T22" s="12">
        <v>5</v>
      </c>
      <c r="U22" s="12">
        <v>5</v>
      </c>
      <c r="V22" s="12">
        <v>5</v>
      </c>
      <c r="W22" s="12">
        <v>3</v>
      </c>
      <c r="X22" s="12">
        <v>3</v>
      </c>
      <c r="Y22" s="12">
        <v>4</v>
      </c>
      <c r="Z22" s="12">
        <v>3</v>
      </c>
      <c r="AA22" s="12">
        <v>4</v>
      </c>
      <c r="AB22" s="13">
        <f t="shared" si="1"/>
        <v>67</v>
      </c>
      <c r="AC22" s="14"/>
    </row>
    <row r="23" ht="162" spans="1:29">
      <c r="A23" s="15"/>
      <c r="B23" s="10" t="s">
        <v>174</v>
      </c>
      <c r="C23" s="11" t="s">
        <v>175</v>
      </c>
      <c r="D23" s="12">
        <v>5</v>
      </c>
      <c r="E23" s="12">
        <v>5</v>
      </c>
      <c r="F23" s="12">
        <v>5</v>
      </c>
      <c r="G23" s="12">
        <v>5</v>
      </c>
      <c r="H23" s="12">
        <v>5</v>
      </c>
      <c r="I23" s="12">
        <v>5</v>
      </c>
      <c r="J23" s="12">
        <v>5</v>
      </c>
      <c r="K23" s="13">
        <f t="shared" ref="K22:K52" si="2">SUM(D23:J23)</f>
        <v>35</v>
      </c>
      <c r="L23" s="12">
        <v>5</v>
      </c>
      <c r="M23" s="12">
        <v>4</v>
      </c>
      <c r="N23" s="12">
        <v>3</v>
      </c>
      <c r="O23" s="12">
        <v>4</v>
      </c>
      <c r="P23" s="12">
        <v>2</v>
      </c>
      <c r="Q23" s="12">
        <v>3</v>
      </c>
      <c r="R23" s="12">
        <v>4</v>
      </c>
      <c r="S23" s="12">
        <v>5</v>
      </c>
      <c r="T23" s="12">
        <v>5</v>
      </c>
      <c r="U23" s="12">
        <v>4</v>
      </c>
      <c r="V23" s="12">
        <v>5</v>
      </c>
      <c r="W23" s="12">
        <v>3</v>
      </c>
      <c r="X23" s="12">
        <v>2</v>
      </c>
      <c r="Y23" s="12">
        <v>4</v>
      </c>
      <c r="Z23" s="12">
        <v>3</v>
      </c>
      <c r="AA23" s="12">
        <v>4</v>
      </c>
      <c r="AB23" s="13">
        <f t="shared" ref="AB22:AB52" si="3">SUM(L23:AA23)</f>
        <v>60</v>
      </c>
      <c r="AC23" s="14"/>
    </row>
    <row r="24" ht="121.5" spans="1:29">
      <c r="A24" s="15"/>
      <c r="B24" s="10" t="s">
        <v>176</v>
      </c>
      <c r="C24" s="11" t="s">
        <v>177</v>
      </c>
      <c r="D24" s="12">
        <v>5</v>
      </c>
      <c r="E24" s="12">
        <v>5</v>
      </c>
      <c r="F24" s="12">
        <v>5</v>
      </c>
      <c r="G24" s="12">
        <v>5</v>
      </c>
      <c r="H24" s="12">
        <v>5</v>
      </c>
      <c r="I24" s="12">
        <v>5</v>
      </c>
      <c r="J24" s="12">
        <v>5</v>
      </c>
      <c r="K24" s="13">
        <f t="shared" si="2"/>
        <v>35</v>
      </c>
      <c r="L24" s="12">
        <v>5</v>
      </c>
      <c r="M24" s="12">
        <v>4</v>
      </c>
      <c r="N24" s="12">
        <v>3</v>
      </c>
      <c r="O24" s="12">
        <v>4</v>
      </c>
      <c r="P24" s="12">
        <v>1</v>
      </c>
      <c r="Q24" s="12">
        <v>4</v>
      </c>
      <c r="R24" s="12">
        <v>4</v>
      </c>
      <c r="S24" s="12">
        <v>5</v>
      </c>
      <c r="T24" s="12">
        <v>5</v>
      </c>
      <c r="U24" s="12">
        <v>5</v>
      </c>
      <c r="V24" s="12">
        <v>5</v>
      </c>
      <c r="W24" s="12">
        <v>4</v>
      </c>
      <c r="X24" s="12">
        <v>2</v>
      </c>
      <c r="Y24" s="12">
        <v>4</v>
      </c>
      <c r="Z24" s="12">
        <v>3</v>
      </c>
      <c r="AA24" s="12">
        <v>4</v>
      </c>
      <c r="AB24" s="13">
        <f t="shared" si="3"/>
        <v>62</v>
      </c>
      <c r="AC24" s="14"/>
    </row>
    <row r="25" ht="162.4" spans="1:29">
      <c r="A25" s="15"/>
      <c r="B25" s="10" t="s">
        <v>178</v>
      </c>
      <c r="C25" s="11" t="s">
        <v>179</v>
      </c>
      <c r="D25" s="12">
        <v>5</v>
      </c>
      <c r="E25" s="12">
        <v>5</v>
      </c>
      <c r="F25" s="12">
        <v>5</v>
      </c>
      <c r="G25" s="12">
        <v>5</v>
      </c>
      <c r="H25" s="12">
        <v>5</v>
      </c>
      <c r="I25" s="12">
        <v>5</v>
      </c>
      <c r="J25" s="12">
        <v>5</v>
      </c>
      <c r="K25" s="13">
        <f t="shared" si="2"/>
        <v>35</v>
      </c>
      <c r="L25" s="12">
        <v>5</v>
      </c>
      <c r="M25" s="12">
        <v>5</v>
      </c>
      <c r="N25" s="12">
        <v>3</v>
      </c>
      <c r="O25" s="12">
        <v>5</v>
      </c>
      <c r="P25" s="12">
        <v>3</v>
      </c>
      <c r="Q25" s="12">
        <v>4</v>
      </c>
      <c r="R25" s="12">
        <v>4</v>
      </c>
      <c r="S25" s="12">
        <v>5</v>
      </c>
      <c r="T25" s="12">
        <v>5</v>
      </c>
      <c r="U25" s="12">
        <v>5</v>
      </c>
      <c r="V25" s="12">
        <v>5</v>
      </c>
      <c r="W25" s="12">
        <v>3</v>
      </c>
      <c r="X25" s="12">
        <v>3</v>
      </c>
      <c r="Y25" s="12">
        <v>3</v>
      </c>
      <c r="Z25" s="12">
        <v>3</v>
      </c>
      <c r="AA25" s="12">
        <v>3</v>
      </c>
      <c r="AB25" s="13">
        <f t="shared" si="3"/>
        <v>64</v>
      </c>
      <c r="AC25" s="14"/>
    </row>
    <row r="26" ht="216" spans="1:29">
      <c r="A26" s="15"/>
      <c r="B26" s="10" t="s">
        <v>180</v>
      </c>
      <c r="C26" s="11" t="s">
        <v>181</v>
      </c>
      <c r="D26" s="12">
        <v>5</v>
      </c>
      <c r="E26" s="12">
        <v>5</v>
      </c>
      <c r="F26" s="12">
        <v>5</v>
      </c>
      <c r="G26" s="12">
        <v>5</v>
      </c>
      <c r="H26" s="12">
        <v>5</v>
      </c>
      <c r="I26" s="12">
        <v>5</v>
      </c>
      <c r="J26" s="12">
        <v>5</v>
      </c>
      <c r="K26" s="13">
        <f t="shared" si="2"/>
        <v>35</v>
      </c>
      <c r="L26" s="12">
        <v>5</v>
      </c>
      <c r="M26" s="12">
        <v>5</v>
      </c>
      <c r="N26" s="12">
        <v>3</v>
      </c>
      <c r="O26" s="12">
        <v>5</v>
      </c>
      <c r="P26" s="12">
        <v>4</v>
      </c>
      <c r="Q26" s="12">
        <v>4</v>
      </c>
      <c r="R26" s="12">
        <v>4</v>
      </c>
      <c r="S26" s="12">
        <v>5</v>
      </c>
      <c r="T26" s="12">
        <v>5</v>
      </c>
      <c r="U26" s="12">
        <v>5</v>
      </c>
      <c r="V26" s="12">
        <v>5</v>
      </c>
      <c r="W26" s="12">
        <v>4</v>
      </c>
      <c r="X26" s="12">
        <v>4</v>
      </c>
      <c r="Y26" s="12">
        <v>4</v>
      </c>
      <c r="Z26" s="12">
        <v>3</v>
      </c>
      <c r="AA26" s="12">
        <v>4</v>
      </c>
      <c r="AB26" s="13">
        <f t="shared" si="3"/>
        <v>69</v>
      </c>
      <c r="AC26" s="14"/>
    </row>
    <row r="27" ht="148.5" spans="1:29">
      <c r="A27" s="15"/>
      <c r="B27" s="10" t="s">
        <v>182</v>
      </c>
      <c r="C27" s="11" t="s">
        <v>183</v>
      </c>
      <c r="D27" s="12">
        <v>5</v>
      </c>
      <c r="E27" s="12">
        <v>5</v>
      </c>
      <c r="F27" s="12">
        <v>5</v>
      </c>
      <c r="G27" s="12">
        <v>5</v>
      </c>
      <c r="H27" s="12">
        <v>5</v>
      </c>
      <c r="I27" s="12">
        <v>5</v>
      </c>
      <c r="J27" s="12">
        <v>5</v>
      </c>
      <c r="K27" s="13">
        <f t="shared" si="2"/>
        <v>35</v>
      </c>
      <c r="L27" s="12">
        <v>5</v>
      </c>
      <c r="M27" s="12">
        <v>4</v>
      </c>
      <c r="N27" s="12">
        <v>3</v>
      </c>
      <c r="O27" s="12">
        <v>4</v>
      </c>
      <c r="P27" s="12">
        <v>1</v>
      </c>
      <c r="Q27" s="12">
        <v>4</v>
      </c>
      <c r="R27" s="12">
        <v>4</v>
      </c>
      <c r="S27" s="12">
        <v>5</v>
      </c>
      <c r="T27" s="12">
        <v>5</v>
      </c>
      <c r="U27" s="12">
        <v>5</v>
      </c>
      <c r="V27" s="12">
        <v>5</v>
      </c>
      <c r="W27" s="12">
        <v>4</v>
      </c>
      <c r="X27" s="12">
        <v>3</v>
      </c>
      <c r="Y27" s="12">
        <v>4</v>
      </c>
      <c r="Z27" s="12">
        <v>3</v>
      </c>
      <c r="AA27" s="12">
        <v>4</v>
      </c>
      <c r="AB27" s="13">
        <f t="shared" si="3"/>
        <v>63</v>
      </c>
      <c r="AC27" s="14"/>
    </row>
    <row r="28" ht="135" spans="1:29">
      <c r="A28" s="22" t="s">
        <v>184</v>
      </c>
      <c r="B28" s="10" t="s">
        <v>185</v>
      </c>
      <c r="C28" s="11" t="s">
        <v>186</v>
      </c>
      <c r="D28" s="12">
        <v>5</v>
      </c>
      <c r="E28" s="12">
        <v>5</v>
      </c>
      <c r="F28" s="12">
        <v>5</v>
      </c>
      <c r="G28" s="12">
        <v>5</v>
      </c>
      <c r="H28" s="12">
        <v>5</v>
      </c>
      <c r="I28" s="12">
        <v>5</v>
      </c>
      <c r="J28" s="12">
        <v>5</v>
      </c>
      <c r="K28" s="13">
        <f t="shared" si="2"/>
        <v>35</v>
      </c>
      <c r="L28" s="12">
        <v>5</v>
      </c>
      <c r="M28" s="12">
        <v>5</v>
      </c>
      <c r="N28" s="12">
        <v>2</v>
      </c>
      <c r="O28" s="12">
        <v>5</v>
      </c>
      <c r="P28" s="12">
        <v>3</v>
      </c>
      <c r="Q28" s="12">
        <v>5</v>
      </c>
      <c r="R28" s="12">
        <v>4</v>
      </c>
      <c r="S28" s="12">
        <v>5</v>
      </c>
      <c r="T28" s="12">
        <v>5</v>
      </c>
      <c r="U28" s="12">
        <v>5</v>
      </c>
      <c r="V28" s="12">
        <v>5</v>
      </c>
      <c r="W28" s="12">
        <v>4</v>
      </c>
      <c r="X28" s="12">
        <v>3</v>
      </c>
      <c r="Y28" s="12">
        <v>4</v>
      </c>
      <c r="Z28" s="12">
        <v>3</v>
      </c>
      <c r="AA28" s="12">
        <v>4</v>
      </c>
      <c r="AB28" s="13">
        <f t="shared" si="3"/>
        <v>67</v>
      </c>
      <c r="AC28" s="14"/>
    </row>
    <row r="29" ht="121.5" spans="1:29">
      <c r="A29" s="22"/>
      <c r="B29" s="10" t="s">
        <v>187</v>
      </c>
      <c r="C29" s="11" t="s">
        <v>188</v>
      </c>
      <c r="D29" s="12">
        <v>5</v>
      </c>
      <c r="E29" s="12">
        <v>5</v>
      </c>
      <c r="F29" s="12">
        <v>5</v>
      </c>
      <c r="G29" s="12">
        <v>5</v>
      </c>
      <c r="H29" s="12">
        <v>5</v>
      </c>
      <c r="I29" s="12">
        <v>5</v>
      </c>
      <c r="J29" s="12">
        <v>5</v>
      </c>
      <c r="K29" s="13">
        <f t="shared" si="2"/>
        <v>35</v>
      </c>
      <c r="L29" s="12">
        <v>5</v>
      </c>
      <c r="M29" s="12">
        <v>5</v>
      </c>
      <c r="N29" s="12">
        <v>3</v>
      </c>
      <c r="O29" s="12">
        <v>4</v>
      </c>
      <c r="P29" s="12">
        <v>3</v>
      </c>
      <c r="Q29" s="12">
        <v>5</v>
      </c>
      <c r="R29" s="12">
        <v>4</v>
      </c>
      <c r="S29" s="12">
        <v>5</v>
      </c>
      <c r="T29" s="12">
        <v>5</v>
      </c>
      <c r="U29" s="12">
        <v>5</v>
      </c>
      <c r="V29" s="12">
        <v>5</v>
      </c>
      <c r="W29" s="12">
        <v>4</v>
      </c>
      <c r="X29" s="12">
        <v>3</v>
      </c>
      <c r="Y29" s="12">
        <v>4</v>
      </c>
      <c r="Z29" s="12">
        <v>3</v>
      </c>
      <c r="AA29" s="12">
        <v>4</v>
      </c>
      <c r="AB29" s="13">
        <f t="shared" si="3"/>
        <v>67</v>
      </c>
      <c r="AC29" s="14"/>
    </row>
    <row r="30" ht="189" spans="1:29">
      <c r="A30" s="22"/>
      <c r="B30" s="10" t="s">
        <v>189</v>
      </c>
      <c r="C30" s="11" t="s">
        <v>85</v>
      </c>
      <c r="D30" s="12">
        <v>5</v>
      </c>
      <c r="E30" s="12">
        <v>5</v>
      </c>
      <c r="F30" s="12">
        <v>5</v>
      </c>
      <c r="G30" s="12">
        <v>5</v>
      </c>
      <c r="H30" s="12">
        <v>5</v>
      </c>
      <c r="I30" s="12">
        <v>5</v>
      </c>
      <c r="J30" s="12">
        <v>5</v>
      </c>
      <c r="K30" s="13">
        <f t="shared" si="2"/>
        <v>35</v>
      </c>
      <c r="L30" s="12">
        <v>5</v>
      </c>
      <c r="M30" s="12">
        <v>5</v>
      </c>
      <c r="N30" s="12">
        <v>2</v>
      </c>
      <c r="O30" s="12">
        <v>4</v>
      </c>
      <c r="P30" s="12">
        <v>3</v>
      </c>
      <c r="Q30" s="12">
        <v>5</v>
      </c>
      <c r="R30" s="12">
        <v>4</v>
      </c>
      <c r="S30" s="12">
        <v>5</v>
      </c>
      <c r="T30" s="12">
        <v>5</v>
      </c>
      <c r="U30" s="12">
        <v>5</v>
      </c>
      <c r="V30" s="12">
        <v>5</v>
      </c>
      <c r="W30" s="12">
        <v>4</v>
      </c>
      <c r="X30" s="12">
        <v>2</v>
      </c>
      <c r="Y30" s="12">
        <v>4</v>
      </c>
      <c r="Z30" s="12">
        <v>3</v>
      </c>
      <c r="AA30" s="12">
        <v>4</v>
      </c>
      <c r="AB30" s="13">
        <f t="shared" si="3"/>
        <v>65</v>
      </c>
      <c r="AC30" s="14"/>
    </row>
    <row r="31" ht="175.5" spans="1:29">
      <c r="A31" s="22"/>
      <c r="B31" s="10" t="s">
        <v>190</v>
      </c>
      <c r="C31" s="11" t="s">
        <v>191</v>
      </c>
      <c r="D31" s="12">
        <v>5</v>
      </c>
      <c r="E31" s="12">
        <v>5</v>
      </c>
      <c r="F31" s="12">
        <v>4</v>
      </c>
      <c r="G31" s="12">
        <v>5</v>
      </c>
      <c r="H31" s="12">
        <v>5</v>
      </c>
      <c r="I31" s="12">
        <v>5</v>
      </c>
      <c r="J31" s="12">
        <v>4</v>
      </c>
      <c r="K31" s="13">
        <f t="shared" si="2"/>
        <v>33</v>
      </c>
      <c r="L31" s="12">
        <v>5</v>
      </c>
      <c r="M31" s="12">
        <v>5</v>
      </c>
      <c r="N31" s="12">
        <v>2</v>
      </c>
      <c r="O31" s="12">
        <v>5</v>
      </c>
      <c r="P31" s="12">
        <v>3</v>
      </c>
      <c r="Q31" s="12">
        <v>5</v>
      </c>
      <c r="R31" s="12">
        <v>4</v>
      </c>
      <c r="S31" s="12">
        <v>5</v>
      </c>
      <c r="T31" s="12">
        <v>5</v>
      </c>
      <c r="U31" s="12">
        <v>5</v>
      </c>
      <c r="V31" s="12">
        <v>5</v>
      </c>
      <c r="W31" s="12">
        <v>4</v>
      </c>
      <c r="X31" s="12">
        <v>2</v>
      </c>
      <c r="Y31" s="12">
        <v>4</v>
      </c>
      <c r="Z31" s="12">
        <v>3</v>
      </c>
      <c r="AA31" s="12">
        <v>4</v>
      </c>
      <c r="AB31" s="13">
        <f t="shared" si="3"/>
        <v>66</v>
      </c>
      <c r="AC31" s="14"/>
    </row>
    <row r="32" ht="202.5" spans="1:29">
      <c r="A32" s="22"/>
      <c r="B32" s="10" t="s">
        <v>192</v>
      </c>
      <c r="C32" s="11" t="s">
        <v>193</v>
      </c>
      <c r="D32" s="12">
        <v>5</v>
      </c>
      <c r="E32" s="12">
        <v>5</v>
      </c>
      <c r="F32" s="12">
        <v>4</v>
      </c>
      <c r="G32" s="12">
        <v>5</v>
      </c>
      <c r="H32" s="12">
        <v>5</v>
      </c>
      <c r="I32" s="12">
        <v>5</v>
      </c>
      <c r="J32" s="12">
        <v>5</v>
      </c>
      <c r="K32" s="13">
        <f t="shared" si="2"/>
        <v>34</v>
      </c>
      <c r="L32" s="12">
        <v>5</v>
      </c>
      <c r="M32" s="12">
        <v>5</v>
      </c>
      <c r="N32" s="12">
        <v>2</v>
      </c>
      <c r="O32" s="12">
        <v>5</v>
      </c>
      <c r="P32" s="12">
        <v>3</v>
      </c>
      <c r="Q32" s="12">
        <v>5</v>
      </c>
      <c r="R32" s="12">
        <v>4</v>
      </c>
      <c r="S32" s="12">
        <v>5</v>
      </c>
      <c r="T32" s="12">
        <v>5</v>
      </c>
      <c r="U32" s="12">
        <v>5</v>
      </c>
      <c r="V32" s="12">
        <v>5</v>
      </c>
      <c r="W32" s="12">
        <v>4</v>
      </c>
      <c r="X32" s="12">
        <v>2</v>
      </c>
      <c r="Y32" s="12">
        <v>4</v>
      </c>
      <c r="Z32" s="12">
        <v>3</v>
      </c>
      <c r="AA32" s="12">
        <v>4</v>
      </c>
      <c r="AB32" s="13">
        <f t="shared" si="3"/>
        <v>66</v>
      </c>
      <c r="AC32" s="14"/>
    </row>
    <row r="33" ht="162" spans="1:29">
      <c r="A33" s="22"/>
      <c r="B33" s="10" t="s">
        <v>194</v>
      </c>
      <c r="C33" s="11" t="s">
        <v>195</v>
      </c>
      <c r="D33" s="12">
        <v>5</v>
      </c>
      <c r="E33" s="12">
        <v>5</v>
      </c>
      <c r="F33" s="12">
        <v>4</v>
      </c>
      <c r="G33" s="12">
        <v>5</v>
      </c>
      <c r="H33" s="12">
        <v>5</v>
      </c>
      <c r="I33" s="12">
        <v>5</v>
      </c>
      <c r="J33" s="12">
        <v>4</v>
      </c>
      <c r="K33" s="13">
        <f t="shared" si="2"/>
        <v>33</v>
      </c>
      <c r="L33" s="12">
        <v>5</v>
      </c>
      <c r="M33" s="12">
        <v>5</v>
      </c>
      <c r="N33" s="12">
        <v>3</v>
      </c>
      <c r="O33" s="12">
        <v>5</v>
      </c>
      <c r="P33" s="12">
        <v>3</v>
      </c>
      <c r="Q33" s="12">
        <v>5</v>
      </c>
      <c r="R33" s="12">
        <v>4</v>
      </c>
      <c r="S33" s="12">
        <v>5</v>
      </c>
      <c r="T33" s="12">
        <v>5</v>
      </c>
      <c r="U33" s="12">
        <v>5</v>
      </c>
      <c r="V33" s="12">
        <v>5</v>
      </c>
      <c r="W33" s="12">
        <v>4</v>
      </c>
      <c r="X33" s="12">
        <v>3</v>
      </c>
      <c r="Y33" s="12">
        <v>4</v>
      </c>
      <c r="Z33" s="12">
        <v>3</v>
      </c>
      <c r="AA33" s="12">
        <v>4</v>
      </c>
      <c r="AB33" s="13">
        <f t="shared" si="3"/>
        <v>68</v>
      </c>
      <c r="AC33" s="14"/>
    </row>
    <row r="34" ht="157" customHeight="1" spans="1:29">
      <c r="A34" s="22"/>
      <c r="B34" s="10" t="s">
        <v>196</v>
      </c>
      <c r="C34" s="11" t="s">
        <v>197</v>
      </c>
      <c r="D34" s="12">
        <v>5</v>
      </c>
      <c r="E34" s="12">
        <v>5</v>
      </c>
      <c r="F34" s="12">
        <v>4</v>
      </c>
      <c r="G34" s="12">
        <v>5</v>
      </c>
      <c r="H34" s="12">
        <v>5</v>
      </c>
      <c r="I34" s="12">
        <v>5</v>
      </c>
      <c r="J34" s="12">
        <v>5</v>
      </c>
      <c r="K34" s="13">
        <f t="shared" si="2"/>
        <v>34</v>
      </c>
      <c r="L34" s="12">
        <v>5</v>
      </c>
      <c r="M34" s="12">
        <v>5</v>
      </c>
      <c r="N34" s="12">
        <v>3</v>
      </c>
      <c r="O34" s="12">
        <v>5</v>
      </c>
      <c r="P34" s="12">
        <v>3</v>
      </c>
      <c r="Q34" s="12">
        <v>5</v>
      </c>
      <c r="R34" s="12">
        <v>4</v>
      </c>
      <c r="S34" s="12">
        <v>5</v>
      </c>
      <c r="T34" s="12">
        <v>5</v>
      </c>
      <c r="U34" s="12">
        <v>5</v>
      </c>
      <c r="V34" s="12">
        <v>5</v>
      </c>
      <c r="W34" s="12">
        <v>4</v>
      </c>
      <c r="X34" s="12">
        <v>3</v>
      </c>
      <c r="Y34" s="12">
        <v>4</v>
      </c>
      <c r="Z34" s="12">
        <v>3</v>
      </c>
      <c r="AA34" s="12">
        <v>4</v>
      </c>
      <c r="AB34" s="13">
        <f t="shared" si="3"/>
        <v>68</v>
      </c>
      <c r="AC34" s="14"/>
    </row>
    <row r="35" ht="162" spans="1:29">
      <c r="A35" s="22"/>
      <c r="B35" s="10" t="s">
        <v>198</v>
      </c>
      <c r="C35" s="11" t="s">
        <v>199</v>
      </c>
      <c r="D35" s="12">
        <v>5</v>
      </c>
      <c r="E35" s="12">
        <v>5</v>
      </c>
      <c r="F35" s="12">
        <v>4</v>
      </c>
      <c r="G35" s="12">
        <v>5</v>
      </c>
      <c r="H35" s="12">
        <v>5</v>
      </c>
      <c r="I35" s="12">
        <v>5</v>
      </c>
      <c r="J35" s="12">
        <v>5</v>
      </c>
      <c r="K35" s="13">
        <f t="shared" si="2"/>
        <v>34</v>
      </c>
      <c r="L35" s="12">
        <v>5</v>
      </c>
      <c r="M35" s="12">
        <v>5</v>
      </c>
      <c r="N35" s="12">
        <v>3</v>
      </c>
      <c r="O35" s="12">
        <v>5</v>
      </c>
      <c r="P35" s="12">
        <v>3</v>
      </c>
      <c r="Q35" s="12">
        <v>5</v>
      </c>
      <c r="R35" s="12">
        <v>4</v>
      </c>
      <c r="S35" s="12">
        <v>5</v>
      </c>
      <c r="T35" s="12">
        <v>5</v>
      </c>
      <c r="U35" s="12">
        <v>5</v>
      </c>
      <c r="V35" s="12">
        <v>5</v>
      </c>
      <c r="W35" s="12">
        <v>4</v>
      </c>
      <c r="X35" s="12">
        <v>3</v>
      </c>
      <c r="Y35" s="12">
        <v>4</v>
      </c>
      <c r="Z35" s="12">
        <v>3</v>
      </c>
      <c r="AA35" s="12">
        <v>4</v>
      </c>
      <c r="AB35" s="13">
        <f t="shared" si="3"/>
        <v>68</v>
      </c>
      <c r="AC35" s="14"/>
    </row>
    <row r="36" ht="216" spans="1:29">
      <c r="A36" s="22"/>
      <c r="B36" s="10" t="s">
        <v>200</v>
      </c>
      <c r="C36" s="11" t="s">
        <v>201</v>
      </c>
      <c r="D36" s="12">
        <v>5</v>
      </c>
      <c r="E36" s="12">
        <v>5</v>
      </c>
      <c r="F36" s="12">
        <v>5</v>
      </c>
      <c r="G36" s="12">
        <v>5</v>
      </c>
      <c r="H36" s="12">
        <v>5</v>
      </c>
      <c r="I36" s="12">
        <v>5</v>
      </c>
      <c r="J36" s="12">
        <v>5</v>
      </c>
      <c r="K36" s="13">
        <f t="shared" si="2"/>
        <v>35</v>
      </c>
      <c r="L36" s="12">
        <v>5</v>
      </c>
      <c r="M36" s="12">
        <v>5</v>
      </c>
      <c r="N36" s="12">
        <v>2</v>
      </c>
      <c r="O36" s="12">
        <v>5</v>
      </c>
      <c r="P36" s="12">
        <v>3</v>
      </c>
      <c r="Q36" s="12">
        <v>5</v>
      </c>
      <c r="R36" s="12">
        <v>4</v>
      </c>
      <c r="S36" s="12">
        <v>5</v>
      </c>
      <c r="T36" s="12">
        <v>5</v>
      </c>
      <c r="U36" s="12">
        <v>5</v>
      </c>
      <c r="V36" s="12">
        <v>5</v>
      </c>
      <c r="W36" s="12">
        <v>4</v>
      </c>
      <c r="X36" s="12">
        <v>4</v>
      </c>
      <c r="Y36" s="12">
        <v>4</v>
      </c>
      <c r="Z36" s="12">
        <v>3</v>
      </c>
      <c r="AA36" s="12">
        <v>4</v>
      </c>
      <c r="AB36" s="13">
        <f t="shared" si="3"/>
        <v>68</v>
      </c>
      <c r="AC36" s="14"/>
    </row>
    <row r="37" ht="189" spans="1:29">
      <c r="A37" s="22"/>
      <c r="B37" s="10" t="s">
        <v>202</v>
      </c>
      <c r="C37" s="11" t="s">
        <v>203</v>
      </c>
      <c r="D37" s="12">
        <v>5</v>
      </c>
      <c r="E37" s="12">
        <v>5</v>
      </c>
      <c r="F37" s="12">
        <v>5</v>
      </c>
      <c r="G37" s="12">
        <v>5</v>
      </c>
      <c r="H37" s="12">
        <v>5</v>
      </c>
      <c r="I37" s="12">
        <v>5</v>
      </c>
      <c r="J37" s="12">
        <v>5</v>
      </c>
      <c r="K37" s="13">
        <f t="shared" si="2"/>
        <v>35</v>
      </c>
      <c r="L37" s="12">
        <v>5</v>
      </c>
      <c r="M37" s="12">
        <v>5</v>
      </c>
      <c r="N37" s="12">
        <v>2</v>
      </c>
      <c r="O37" s="12">
        <v>5</v>
      </c>
      <c r="P37" s="12">
        <v>3</v>
      </c>
      <c r="Q37" s="12">
        <v>5</v>
      </c>
      <c r="R37" s="12">
        <v>4</v>
      </c>
      <c r="S37" s="12">
        <v>5</v>
      </c>
      <c r="T37" s="12">
        <v>5</v>
      </c>
      <c r="U37" s="12">
        <v>5</v>
      </c>
      <c r="V37" s="12">
        <v>5</v>
      </c>
      <c r="W37" s="12">
        <v>4</v>
      </c>
      <c r="X37" s="12">
        <v>4</v>
      </c>
      <c r="Y37" s="12">
        <v>4</v>
      </c>
      <c r="Z37" s="12">
        <v>3</v>
      </c>
      <c r="AA37" s="12">
        <v>4</v>
      </c>
      <c r="AB37" s="13">
        <f t="shared" si="3"/>
        <v>68</v>
      </c>
      <c r="AC37" s="14"/>
    </row>
    <row r="38" ht="202.9" spans="1:29">
      <c r="A38" s="22"/>
      <c r="B38" s="10" t="s">
        <v>204</v>
      </c>
      <c r="C38" s="11" t="s">
        <v>205</v>
      </c>
      <c r="D38" s="12">
        <v>5</v>
      </c>
      <c r="E38" s="12">
        <v>5</v>
      </c>
      <c r="F38" s="12">
        <v>4</v>
      </c>
      <c r="G38" s="12">
        <v>5</v>
      </c>
      <c r="H38" s="12">
        <v>5</v>
      </c>
      <c r="I38" s="12">
        <v>5</v>
      </c>
      <c r="J38" s="12">
        <v>5</v>
      </c>
      <c r="K38" s="13">
        <f t="shared" si="2"/>
        <v>34</v>
      </c>
      <c r="L38" s="12">
        <v>5</v>
      </c>
      <c r="M38" s="12">
        <v>5</v>
      </c>
      <c r="N38" s="12">
        <v>2</v>
      </c>
      <c r="O38" s="12">
        <v>5</v>
      </c>
      <c r="P38" s="12">
        <v>3</v>
      </c>
      <c r="Q38" s="12">
        <v>5</v>
      </c>
      <c r="R38" s="12">
        <v>4</v>
      </c>
      <c r="S38" s="12">
        <v>5</v>
      </c>
      <c r="T38" s="12">
        <v>5</v>
      </c>
      <c r="U38" s="12">
        <v>5</v>
      </c>
      <c r="V38" s="12">
        <v>5</v>
      </c>
      <c r="W38" s="12">
        <v>4</v>
      </c>
      <c r="X38" s="12">
        <v>4</v>
      </c>
      <c r="Y38" s="12">
        <v>4</v>
      </c>
      <c r="Z38" s="12">
        <v>3</v>
      </c>
      <c r="AA38" s="12">
        <v>4</v>
      </c>
      <c r="AB38" s="13">
        <f t="shared" si="3"/>
        <v>68</v>
      </c>
      <c r="AC38" s="14"/>
    </row>
    <row r="39" ht="148.5" spans="1:29">
      <c r="A39" s="22"/>
      <c r="B39" s="10" t="s">
        <v>206</v>
      </c>
      <c r="C39" s="11" t="s">
        <v>207</v>
      </c>
      <c r="D39" s="12">
        <v>4</v>
      </c>
      <c r="E39" s="12">
        <v>5</v>
      </c>
      <c r="F39" s="12">
        <v>5</v>
      </c>
      <c r="G39" s="12">
        <v>5</v>
      </c>
      <c r="H39" s="12">
        <v>5</v>
      </c>
      <c r="I39" s="12">
        <v>5</v>
      </c>
      <c r="J39" s="12">
        <v>5</v>
      </c>
      <c r="K39" s="13">
        <f t="shared" si="2"/>
        <v>34</v>
      </c>
      <c r="L39" s="12">
        <v>4</v>
      </c>
      <c r="M39" s="12">
        <v>5</v>
      </c>
      <c r="N39" s="12">
        <v>3</v>
      </c>
      <c r="O39" s="12">
        <v>5</v>
      </c>
      <c r="P39" s="12">
        <v>3</v>
      </c>
      <c r="Q39" s="12">
        <v>5</v>
      </c>
      <c r="R39" s="12">
        <v>4</v>
      </c>
      <c r="S39" s="12">
        <v>3</v>
      </c>
      <c r="T39" s="12">
        <v>5</v>
      </c>
      <c r="U39" s="12">
        <v>5</v>
      </c>
      <c r="V39" s="12">
        <v>5</v>
      </c>
      <c r="W39" s="12">
        <v>4</v>
      </c>
      <c r="X39" s="12">
        <v>2</v>
      </c>
      <c r="Y39" s="12">
        <v>4</v>
      </c>
      <c r="Z39" s="12">
        <v>3</v>
      </c>
      <c r="AA39" s="12">
        <v>4</v>
      </c>
      <c r="AB39" s="13">
        <f t="shared" si="3"/>
        <v>64</v>
      </c>
      <c r="AC39" s="14"/>
    </row>
    <row r="40" ht="148.5" spans="1:29">
      <c r="A40" s="22"/>
      <c r="B40" s="10" t="s">
        <v>208</v>
      </c>
      <c r="C40" s="11" t="s">
        <v>209</v>
      </c>
      <c r="D40" s="12">
        <v>4</v>
      </c>
      <c r="E40" s="12">
        <v>5</v>
      </c>
      <c r="F40" s="12">
        <v>5</v>
      </c>
      <c r="G40" s="12">
        <v>5</v>
      </c>
      <c r="H40" s="12">
        <v>5</v>
      </c>
      <c r="I40" s="12">
        <v>5</v>
      </c>
      <c r="J40" s="12">
        <v>5</v>
      </c>
      <c r="K40" s="13">
        <f t="shared" si="2"/>
        <v>34</v>
      </c>
      <c r="L40" s="12">
        <v>4</v>
      </c>
      <c r="M40" s="12">
        <v>5</v>
      </c>
      <c r="N40" s="12">
        <v>3</v>
      </c>
      <c r="O40" s="12">
        <v>5</v>
      </c>
      <c r="P40" s="12">
        <v>3</v>
      </c>
      <c r="Q40" s="12">
        <v>5</v>
      </c>
      <c r="R40" s="12">
        <v>4</v>
      </c>
      <c r="S40" s="12">
        <v>3</v>
      </c>
      <c r="T40" s="12">
        <v>5</v>
      </c>
      <c r="U40" s="12">
        <v>5</v>
      </c>
      <c r="V40" s="12">
        <v>5</v>
      </c>
      <c r="W40" s="12">
        <v>4</v>
      </c>
      <c r="X40" s="12">
        <v>2</v>
      </c>
      <c r="Y40" s="12">
        <v>4</v>
      </c>
      <c r="Z40" s="12">
        <v>3</v>
      </c>
      <c r="AA40" s="12">
        <v>4</v>
      </c>
      <c r="AB40" s="13">
        <f t="shared" si="3"/>
        <v>64</v>
      </c>
      <c r="AC40" s="14"/>
    </row>
    <row r="41" ht="121.5" spans="1:29">
      <c r="A41" s="22"/>
      <c r="B41" s="10" t="s">
        <v>210</v>
      </c>
      <c r="C41" s="11" t="s">
        <v>211</v>
      </c>
      <c r="D41" s="12">
        <v>4</v>
      </c>
      <c r="E41" s="12">
        <v>5</v>
      </c>
      <c r="F41" s="12">
        <v>5</v>
      </c>
      <c r="G41" s="12">
        <v>5</v>
      </c>
      <c r="H41" s="12">
        <v>5</v>
      </c>
      <c r="I41" s="12">
        <v>5</v>
      </c>
      <c r="J41" s="12">
        <v>5</v>
      </c>
      <c r="K41" s="13">
        <f t="shared" si="2"/>
        <v>34</v>
      </c>
      <c r="L41" s="12">
        <v>4</v>
      </c>
      <c r="M41" s="12">
        <v>5</v>
      </c>
      <c r="N41" s="12">
        <v>3</v>
      </c>
      <c r="O41" s="12">
        <v>5</v>
      </c>
      <c r="P41" s="12">
        <v>3</v>
      </c>
      <c r="Q41" s="12">
        <v>5</v>
      </c>
      <c r="R41" s="12">
        <v>4</v>
      </c>
      <c r="S41" s="12">
        <v>3</v>
      </c>
      <c r="T41" s="12">
        <v>5</v>
      </c>
      <c r="U41" s="12">
        <v>5</v>
      </c>
      <c r="V41" s="12">
        <v>5</v>
      </c>
      <c r="W41" s="12">
        <v>4</v>
      </c>
      <c r="X41" s="12">
        <v>2</v>
      </c>
      <c r="Y41" s="12">
        <v>4</v>
      </c>
      <c r="Z41" s="12">
        <v>3</v>
      </c>
      <c r="AA41" s="12">
        <v>4</v>
      </c>
      <c r="AB41" s="13">
        <f t="shared" si="3"/>
        <v>64</v>
      </c>
      <c r="AC41" s="14"/>
    </row>
    <row r="42" ht="162" spans="1:29">
      <c r="A42" s="15" t="s">
        <v>108</v>
      </c>
      <c r="B42" s="10" t="s">
        <v>212</v>
      </c>
      <c r="C42" s="11" t="s">
        <v>213</v>
      </c>
      <c r="D42" s="12">
        <v>5</v>
      </c>
      <c r="E42" s="12">
        <v>5</v>
      </c>
      <c r="F42" s="12">
        <v>4</v>
      </c>
      <c r="G42" s="12">
        <v>5</v>
      </c>
      <c r="H42" s="12">
        <v>5</v>
      </c>
      <c r="I42" s="12">
        <v>5</v>
      </c>
      <c r="J42" s="12">
        <v>5</v>
      </c>
      <c r="K42" s="13">
        <f t="shared" si="2"/>
        <v>34</v>
      </c>
      <c r="L42" s="12">
        <v>5</v>
      </c>
      <c r="M42" s="12">
        <v>5</v>
      </c>
      <c r="N42" s="12">
        <v>2</v>
      </c>
      <c r="O42" s="12">
        <v>5</v>
      </c>
      <c r="P42" s="12">
        <v>2</v>
      </c>
      <c r="Q42" s="12">
        <v>5</v>
      </c>
      <c r="R42" s="12">
        <v>4</v>
      </c>
      <c r="S42" s="12">
        <v>5</v>
      </c>
      <c r="T42" s="12">
        <v>5</v>
      </c>
      <c r="U42" s="12">
        <v>5</v>
      </c>
      <c r="V42" s="12">
        <v>5</v>
      </c>
      <c r="W42" s="12">
        <v>4</v>
      </c>
      <c r="X42" s="12">
        <v>2</v>
      </c>
      <c r="Y42" s="12">
        <v>4</v>
      </c>
      <c r="Z42" s="12">
        <v>3</v>
      </c>
      <c r="AA42" s="12">
        <v>5</v>
      </c>
      <c r="AB42" s="13">
        <f t="shared" si="3"/>
        <v>66</v>
      </c>
      <c r="AC42" s="14"/>
    </row>
    <row r="43" ht="162" spans="1:29">
      <c r="A43" s="15"/>
      <c r="B43" s="10" t="s">
        <v>214</v>
      </c>
      <c r="C43" s="11" t="s">
        <v>215</v>
      </c>
      <c r="D43" s="12">
        <v>5</v>
      </c>
      <c r="E43" s="12">
        <v>5</v>
      </c>
      <c r="F43" s="12">
        <v>5</v>
      </c>
      <c r="G43" s="12">
        <v>5</v>
      </c>
      <c r="H43" s="12">
        <v>5</v>
      </c>
      <c r="I43" s="12">
        <v>5</v>
      </c>
      <c r="J43" s="12">
        <v>5</v>
      </c>
      <c r="K43" s="13">
        <f t="shared" si="2"/>
        <v>35</v>
      </c>
      <c r="L43" s="12">
        <v>5</v>
      </c>
      <c r="M43" s="12">
        <v>5</v>
      </c>
      <c r="N43" s="12">
        <v>2</v>
      </c>
      <c r="O43" s="12">
        <v>5</v>
      </c>
      <c r="P43" s="12">
        <v>2</v>
      </c>
      <c r="Q43" s="12">
        <v>5</v>
      </c>
      <c r="R43" s="12">
        <v>4</v>
      </c>
      <c r="S43" s="12">
        <v>5</v>
      </c>
      <c r="T43" s="12">
        <v>5</v>
      </c>
      <c r="U43" s="12">
        <v>5</v>
      </c>
      <c r="V43" s="12">
        <v>5</v>
      </c>
      <c r="W43" s="12">
        <v>4</v>
      </c>
      <c r="X43" s="12">
        <v>2</v>
      </c>
      <c r="Y43" s="12">
        <v>4</v>
      </c>
      <c r="Z43" s="12">
        <v>3</v>
      </c>
      <c r="AA43" s="12">
        <v>5</v>
      </c>
      <c r="AB43" s="13">
        <f t="shared" si="3"/>
        <v>66</v>
      </c>
      <c r="AC43" s="14"/>
    </row>
    <row r="44" ht="162" spans="1:29">
      <c r="A44" s="15"/>
      <c r="B44" s="10" t="s">
        <v>216</v>
      </c>
      <c r="C44" s="11" t="s">
        <v>217</v>
      </c>
      <c r="D44" s="12">
        <v>5</v>
      </c>
      <c r="E44" s="12">
        <v>5</v>
      </c>
      <c r="F44" s="12">
        <v>5</v>
      </c>
      <c r="G44" s="12">
        <v>5</v>
      </c>
      <c r="H44" s="12">
        <v>5</v>
      </c>
      <c r="I44" s="12">
        <v>5</v>
      </c>
      <c r="J44" s="12">
        <v>5</v>
      </c>
      <c r="K44" s="13">
        <f t="shared" si="2"/>
        <v>35</v>
      </c>
      <c r="L44" s="12">
        <v>5</v>
      </c>
      <c r="M44" s="12">
        <v>5</v>
      </c>
      <c r="N44" s="12">
        <v>2</v>
      </c>
      <c r="O44" s="12">
        <v>5</v>
      </c>
      <c r="P44" s="12">
        <v>2</v>
      </c>
      <c r="Q44" s="12">
        <v>5</v>
      </c>
      <c r="R44" s="12">
        <v>4</v>
      </c>
      <c r="S44" s="12">
        <v>3</v>
      </c>
      <c r="T44" s="12">
        <v>5</v>
      </c>
      <c r="U44" s="12">
        <v>5</v>
      </c>
      <c r="V44" s="12">
        <v>5</v>
      </c>
      <c r="W44" s="12">
        <v>4</v>
      </c>
      <c r="X44" s="12">
        <v>2</v>
      </c>
      <c r="Y44" s="12">
        <v>3</v>
      </c>
      <c r="Z44" s="12">
        <v>3</v>
      </c>
      <c r="AA44" s="12">
        <v>5</v>
      </c>
      <c r="AB44" s="13">
        <f t="shared" si="3"/>
        <v>63</v>
      </c>
      <c r="AC44" s="14"/>
    </row>
    <row r="45" ht="135" spans="1:29">
      <c r="A45" s="23" t="s">
        <v>218</v>
      </c>
      <c r="B45" s="10" t="s">
        <v>219</v>
      </c>
      <c r="C45" s="11" t="s">
        <v>220</v>
      </c>
      <c r="D45" s="12">
        <v>5</v>
      </c>
      <c r="E45" s="12">
        <v>5</v>
      </c>
      <c r="F45" s="12">
        <v>4</v>
      </c>
      <c r="G45" s="12">
        <v>5</v>
      </c>
      <c r="H45" s="12">
        <v>5</v>
      </c>
      <c r="I45" s="12">
        <v>5</v>
      </c>
      <c r="J45" s="12">
        <v>5</v>
      </c>
      <c r="K45" s="13">
        <f t="shared" si="2"/>
        <v>34</v>
      </c>
      <c r="L45" s="12">
        <v>5</v>
      </c>
      <c r="M45" s="12">
        <v>5</v>
      </c>
      <c r="N45" s="12">
        <v>4</v>
      </c>
      <c r="O45" s="12">
        <v>5</v>
      </c>
      <c r="P45" s="12">
        <v>2</v>
      </c>
      <c r="Q45" s="12">
        <v>4</v>
      </c>
      <c r="R45" s="12">
        <v>4</v>
      </c>
      <c r="S45" s="12">
        <v>1</v>
      </c>
      <c r="T45" s="12">
        <v>5</v>
      </c>
      <c r="U45" s="12">
        <v>5</v>
      </c>
      <c r="V45" s="12">
        <v>5</v>
      </c>
      <c r="W45" s="12">
        <v>4</v>
      </c>
      <c r="X45" s="12">
        <v>2</v>
      </c>
      <c r="Y45" s="12">
        <v>3</v>
      </c>
      <c r="Z45" s="12">
        <v>3</v>
      </c>
      <c r="AA45" s="12">
        <v>3</v>
      </c>
      <c r="AB45" s="13">
        <f t="shared" si="3"/>
        <v>60</v>
      </c>
      <c r="AC45" s="14"/>
    </row>
    <row r="46" customFormat="1" ht="195" customHeight="1" spans="1:29">
      <c r="A46" s="24"/>
      <c r="B46" s="10" t="s">
        <v>221</v>
      </c>
      <c r="C46" s="11" t="s">
        <v>222</v>
      </c>
      <c r="D46" s="12">
        <v>5</v>
      </c>
      <c r="E46" s="12">
        <v>5</v>
      </c>
      <c r="F46" s="12">
        <v>5</v>
      </c>
      <c r="G46" s="12">
        <v>5</v>
      </c>
      <c r="H46" s="12">
        <v>5</v>
      </c>
      <c r="I46" s="12">
        <v>5</v>
      </c>
      <c r="J46" s="12">
        <v>5</v>
      </c>
      <c r="K46" s="13">
        <f t="shared" si="2"/>
        <v>35</v>
      </c>
      <c r="L46" s="12">
        <v>5</v>
      </c>
      <c r="M46" s="12">
        <v>5</v>
      </c>
      <c r="N46" s="12">
        <v>2</v>
      </c>
      <c r="O46" s="12">
        <v>5</v>
      </c>
      <c r="P46" s="12">
        <v>2</v>
      </c>
      <c r="Q46" s="12">
        <v>4</v>
      </c>
      <c r="R46" s="12">
        <v>4</v>
      </c>
      <c r="S46" s="12">
        <v>3</v>
      </c>
      <c r="T46" s="12">
        <v>5</v>
      </c>
      <c r="U46" s="12">
        <v>5</v>
      </c>
      <c r="V46" s="12">
        <v>5</v>
      </c>
      <c r="W46" s="12">
        <v>4</v>
      </c>
      <c r="X46" s="12">
        <v>2</v>
      </c>
      <c r="Y46" s="12">
        <v>4</v>
      </c>
      <c r="Z46" s="12">
        <v>3</v>
      </c>
      <c r="AA46" s="12">
        <v>3</v>
      </c>
      <c r="AB46" s="13">
        <f t="shared" si="3"/>
        <v>61</v>
      </c>
      <c r="AC46" s="14"/>
    </row>
    <row r="47" customFormat="1" ht="223" customHeight="1" spans="1:29">
      <c r="A47" s="24"/>
      <c r="B47" s="10" t="s">
        <v>223</v>
      </c>
      <c r="C47" s="11" t="s">
        <v>224</v>
      </c>
      <c r="D47" s="12">
        <v>5</v>
      </c>
      <c r="E47" s="12">
        <v>5</v>
      </c>
      <c r="F47" s="12">
        <v>5</v>
      </c>
      <c r="G47" s="12">
        <v>5</v>
      </c>
      <c r="H47" s="12">
        <v>5</v>
      </c>
      <c r="I47" s="12">
        <v>5</v>
      </c>
      <c r="J47" s="12">
        <v>5</v>
      </c>
      <c r="K47" s="13">
        <f t="shared" si="2"/>
        <v>35</v>
      </c>
      <c r="L47" s="12">
        <v>5</v>
      </c>
      <c r="M47" s="12">
        <v>5</v>
      </c>
      <c r="N47" s="12">
        <v>2</v>
      </c>
      <c r="O47" s="12">
        <v>5</v>
      </c>
      <c r="P47" s="12">
        <v>4</v>
      </c>
      <c r="Q47" s="12">
        <v>4</v>
      </c>
      <c r="R47" s="12">
        <v>4</v>
      </c>
      <c r="S47" s="12">
        <v>3</v>
      </c>
      <c r="T47" s="12">
        <v>5</v>
      </c>
      <c r="U47" s="12">
        <v>3</v>
      </c>
      <c r="V47" s="12">
        <v>5</v>
      </c>
      <c r="W47" s="12">
        <v>4</v>
      </c>
      <c r="X47" s="12">
        <v>3</v>
      </c>
      <c r="Y47" s="12">
        <v>4</v>
      </c>
      <c r="Z47" s="12">
        <v>3</v>
      </c>
      <c r="AA47" s="12">
        <v>3</v>
      </c>
      <c r="AB47" s="13">
        <f t="shared" si="3"/>
        <v>62</v>
      </c>
      <c r="AC47" s="14"/>
    </row>
    <row r="48" customFormat="1" ht="178" customHeight="1" spans="1:29">
      <c r="A48" s="24"/>
      <c r="B48" s="10" t="s">
        <v>225</v>
      </c>
      <c r="C48" s="11" t="s">
        <v>226</v>
      </c>
      <c r="D48" s="12">
        <v>5</v>
      </c>
      <c r="E48" s="12">
        <v>5</v>
      </c>
      <c r="F48" s="12">
        <v>5</v>
      </c>
      <c r="G48" s="12">
        <v>5</v>
      </c>
      <c r="H48" s="12">
        <v>5</v>
      </c>
      <c r="I48" s="12">
        <v>5</v>
      </c>
      <c r="J48" s="12">
        <v>5</v>
      </c>
      <c r="K48" s="13">
        <f t="shared" si="2"/>
        <v>35</v>
      </c>
      <c r="L48" s="12">
        <v>4</v>
      </c>
      <c r="M48" s="12">
        <v>4</v>
      </c>
      <c r="N48" s="12">
        <v>3</v>
      </c>
      <c r="O48" s="12">
        <v>4</v>
      </c>
      <c r="P48" s="12">
        <v>3</v>
      </c>
      <c r="Q48" s="12">
        <v>4</v>
      </c>
      <c r="R48" s="12">
        <v>4</v>
      </c>
      <c r="S48" s="12">
        <v>5</v>
      </c>
      <c r="T48" s="12">
        <v>5</v>
      </c>
      <c r="U48" s="12">
        <v>5</v>
      </c>
      <c r="V48" s="12">
        <v>5</v>
      </c>
      <c r="W48" s="12">
        <v>4</v>
      </c>
      <c r="X48" s="12">
        <v>3</v>
      </c>
      <c r="Y48" s="12">
        <v>4</v>
      </c>
      <c r="Z48" s="12">
        <v>3</v>
      </c>
      <c r="AA48" s="12">
        <v>4</v>
      </c>
      <c r="AB48" s="13">
        <f t="shared" si="3"/>
        <v>64</v>
      </c>
      <c r="AC48" s="14"/>
    </row>
    <row r="49" customFormat="1" ht="161" customHeight="1" spans="1:29">
      <c r="A49" s="24"/>
      <c r="B49" s="10" t="s">
        <v>227</v>
      </c>
      <c r="C49" s="11" t="s">
        <v>228</v>
      </c>
      <c r="D49" s="12">
        <v>5</v>
      </c>
      <c r="E49" s="12">
        <v>5</v>
      </c>
      <c r="F49" s="12">
        <v>5</v>
      </c>
      <c r="G49" s="12">
        <v>5</v>
      </c>
      <c r="H49" s="12">
        <v>5</v>
      </c>
      <c r="I49" s="12">
        <v>5</v>
      </c>
      <c r="J49" s="12">
        <v>5</v>
      </c>
      <c r="K49" s="13">
        <f t="shared" si="2"/>
        <v>35</v>
      </c>
      <c r="L49" s="12">
        <v>5</v>
      </c>
      <c r="M49" s="12">
        <v>5</v>
      </c>
      <c r="N49" s="12">
        <v>3</v>
      </c>
      <c r="O49" s="12">
        <v>5</v>
      </c>
      <c r="P49" s="12">
        <v>4</v>
      </c>
      <c r="Q49" s="12">
        <v>4</v>
      </c>
      <c r="R49" s="12">
        <v>5</v>
      </c>
      <c r="S49" s="12">
        <v>5</v>
      </c>
      <c r="T49" s="12">
        <v>4</v>
      </c>
      <c r="U49" s="12">
        <v>5</v>
      </c>
      <c r="V49" s="12">
        <v>5</v>
      </c>
      <c r="W49" s="12">
        <v>5</v>
      </c>
      <c r="X49" s="12">
        <v>4</v>
      </c>
      <c r="Y49" s="12">
        <v>4</v>
      </c>
      <c r="Z49" s="12">
        <v>3</v>
      </c>
      <c r="AA49" s="12">
        <v>4</v>
      </c>
      <c r="AB49" s="13">
        <f t="shared" si="3"/>
        <v>70</v>
      </c>
      <c r="AC49" s="14"/>
    </row>
    <row r="50" customFormat="1" ht="167" customHeight="1" spans="1:29">
      <c r="A50" s="24"/>
      <c r="B50" s="10" t="s">
        <v>229</v>
      </c>
      <c r="C50" s="11" t="s">
        <v>230</v>
      </c>
      <c r="D50" s="12">
        <v>5</v>
      </c>
      <c r="E50" s="12">
        <v>5</v>
      </c>
      <c r="F50" s="12">
        <v>5</v>
      </c>
      <c r="G50" s="12">
        <v>5</v>
      </c>
      <c r="H50" s="12">
        <v>5</v>
      </c>
      <c r="I50" s="12">
        <v>5</v>
      </c>
      <c r="J50" s="12">
        <v>5</v>
      </c>
      <c r="K50" s="13">
        <f t="shared" si="2"/>
        <v>35</v>
      </c>
      <c r="L50" s="12">
        <v>5</v>
      </c>
      <c r="M50" s="12">
        <v>5</v>
      </c>
      <c r="N50" s="12">
        <v>3</v>
      </c>
      <c r="O50" s="12">
        <v>5</v>
      </c>
      <c r="P50" s="12">
        <v>4</v>
      </c>
      <c r="Q50" s="12">
        <v>4</v>
      </c>
      <c r="R50" s="12">
        <v>5</v>
      </c>
      <c r="S50" s="12">
        <v>5</v>
      </c>
      <c r="T50" s="12">
        <v>5</v>
      </c>
      <c r="U50" s="12">
        <v>5</v>
      </c>
      <c r="V50" s="12">
        <v>5</v>
      </c>
      <c r="W50" s="12">
        <v>5</v>
      </c>
      <c r="X50" s="12">
        <v>3</v>
      </c>
      <c r="Y50" s="12">
        <v>4</v>
      </c>
      <c r="Z50" s="12">
        <v>3</v>
      </c>
      <c r="AA50" s="12">
        <v>4</v>
      </c>
      <c r="AB50" s="13">
        <f t="shared" si="3"/>
        <v>70</v>
      </c>
      <c r="AC50" s="14"/>
    </row>
    <row r="51" customFormat="1" ht="234" customHeight="1" spans="1:29">
      <c r="A51" s="24"/>
      <c r="B51" s="10" t="s">
        <v>231</v>
      </c>
      <c r="C51" s="11" t="s">
        <v>232</v>
      </c>
      <c r="D51" s="12">
        <v>5</v>
      </c>
      <c r="E51" s="12">
        <v>5</v>
      </c>
      <c r="F51" s="12">
        <v>4</v>
      </c>
      <c r="G51" s="12">
        <v>5</v>
      </c>
      <c r="H51" s="12">
        <v>5</v>
      </c>
      <c r="I51" s="12">
        <v>5</v>
      </c>
      <c r="J51" s="12">
        <v>5</v>
      </c>
      <c r="K51" s="13">
        <f t="shared" si="2"/>
        <v>34</v>
      </c>
      <c r="L51" s="12">
        <v>5</v>
      </c>
      <c r="M51" s="12">
        <v>5</v>
      </c>
      <c r="N51" s="12">
        <v>2</v>
      </c>
      <c r="O51" s="12">
        <v>5</v>
      </c>
      <c r="P51" s="12">
        <v>2</v>
      </c>
      <c r="Q51" s="12">
        <v>4</v>
      </c>
      <c r="R51" s="12">
        <v>4</v>
      </c>
      <c r="S51" s="12">
        <v>1</v>
      </c>
      <c r="T51" s="12">
        <v>5</v>
      </c>
      <c r="U51" s="12">
        <v>5</v>
      </c>
      <c r="V51" s="12">
        <v>4</v>
      </c>
      <c r="W51" s="12">
        <v>4</v>
      </c>
      <c r="X51" s="12">
        <v>2</v>
      </c>
      <c r="Y51" s="12">
        <v>4</v>
      </c>
      <c r="Z51" s="12">
        <v>3</v>
      </c>
      <c r="AA51" s="12">
        <v>3</v>
      </c>
      <c r="AB51" s="13">
        <f t="shared" si="3"/>
        <v>58</v>
      </c>
      <c r="AC51" s="14"/>
    </row>
    <row r="52" customFormat="1" ht="153" customHeight="1" spans="1:29">
      <c r="A52" s="24"/>
      <c r="B52" s="10" t="s">
        <v>233</v>
      </c>
      <c r="C52" s="11" t="s">
        <v>234</v>
      </c>
      <c r="D52" s="12">
        <v>5</v>
      </c>
      <c r="E52" s="12">
        <v>5</v>
      </c>
      <c r="F52" s="12">
        <v>4</v>
      </c>
      <c r="G52" s="12">
        <v>5</v>
      </c>
      <c r="H52" s="12">
        <v>5</v>
      </c>
      <c r="I52" s="12">
        <v>5</v>
      </c>
      <c r="J52" s="12">
        <v>5</v>
      </c>
      <c r="K52" s="13">
        <f t="shared" si="2"/>
        <v>34</v>
      </c>
      <c r="L52" s="12">
        <v>5</v>
      </c>
      <c r="M52" s="12">
        <v>5</v>
      </c>
      <c r="N52" s="12">
        <v>2</v>
      </c>
      <c r="O52" s="12">
        <v>4</v>
      </c>
      <c r="P52" s="12">
        <v>2</v>
      </c>
      <c r="Q52" s="12">
        <v>4</v>
      </c>
      <c r="R52" s="12">
        <v>4</v>
      </c>
      <c r="S52" s="12">
        <v>5</v>
      </c>
      <c r="T52" s="12">
        <v>5</v>
      </c>
      <c r="U52" s="12">
        <v>5</v>
      </c>
      <c r="V52" s="12">
        <v>5</v>
      </c>
      <c r="W52" s="12">
        <v>4</v>
      </c>
      <c r="X52" s="12">
        <v>3</v>
      </c>
      <c r="Y52" s="12">
        <v>4</v>
      </c>
      <c r="Z52" s="12">
        <v>3</v>
      </c>
      <c r="AA52" s="12">
        <v>4</v>
      </c>
      <c r="AB52" s="13">
        <f t="shared" si="3"/>
        <v>64</v>
      </c>
      <c r="AC52" s="14"/>
    </row>
    <row r="53" customFormat="1" spans="1:29">
      <c r="A53" s="24"/>
      <c r="B53" s="10"/>
      <c r="C53" s="11"/>
      <c r="D53" s="14">
        <f>AVERAGE(D3:D52)</f>
        <v>4.94</v>
      </c>
      <c r="E53" s="14">
        <f t="shared" ref="E53:AB53" si="4">AVERAGE(E3:E52)</f>
        <v>5</v>
      </c>
      <c r="F53" s="14">
        <f t="shared" si="4"/>
        <v>4.66</v>
      </c>
      <c r="G53" s="14">
        <f t="shared" si="4"/>
        <v>5</v>
      </c>
      <c r="H53" s="14">
        <f t="shared" si="4"/>
        <v>5</v>
      </c>
      <c r="I53" s="14">
        <f t="shared" si="4"/>
        <v>5</v>
      </c>
      <c r="J53" s="14">
        <f t="shared" si="4"/>
        <v>4.96</v>
      </c>
      <c r="K53" s="14">
        <f t="shared" si="4"/>
        <v>34.56</v>
      </c>
      <c r="L53" s="14">
        <f t="shared" si="4"/>
        <v>4.92</v>
      </c>
      <c r="M53" s="14">
        <f t="shared" si="4"/>
        <v>4.84</v>
      </c>
      <c r="N53" s="14">
        <f t="shared" si="4"/>
        <v>2.68</v>
      </c>
      <c r="O53" s="14">
        <f t="shared" si="4"/>
        <v>4.74</v>
      </c>
      <c r="P53" s="14">
        <f t="shared" si="4"/>
        <v>2.72</v>
      </c>
      <c r="Q53" s="14">
        <f t="shared" si="4"/>
        <v>4.32</v>
      </c>
      <c r="R53" s="14">
        <f t="shared" si="4"/>
        <v>4.14</v>
      </c>
      <c r="S53" s="14">
        <f t="shared" si="4"/>
        <v>4.44</v>
      </c>
      <c r="T53" s="14">
        <f t="shared" si="4"/>
        <v>4.98</v>
      </c>
      <c r="U53" s="14">
        <f t="shared" si="4"/>
        <v>4.94</v>
      </c>
      <c r="V53" s="14">
        <f t="shared" si="4"/>
        <v>4.96</v>
      </c>
      <c r="W53" s="14">
        <f t="shared" si="4"/>
        <v>4.06</v>
      </c>
      <c r="X53" s="14">
        <f t="shared" si="4"/>
        <v>2.58</v>
      </c>
      <c r="Y53" s="14">
        <f t="shared" si="4"/>
        <v>3.9</v>
      </c>
      <c r="Z53" s="14">
        <f t="shared" si="4"/>
        <v>3</v>
      </c>
      <c r="AA53" s="14">
        <f t="shared" si="4"/>
        <v>3.92</v>
      </c>
      <c r="AB53" s="14">
        <f t="shared" si="4"/>
        <v>65.14</v>
      </c>
      <c r="AC53" s="14"/>
    </row>
    <row r="54" customFormat="1" spans="1:29">
      <c r="A54" s="24"/>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row>
    <row r="55" customFormat="1" spans="1:29">
      <c r="A55" s="24"/>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row>
    <row r="56" customFormat="1" spans="1:29">
      <c r="A56" s="24"/>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row>
    <row r="57" customFormat="1" spans="1:29">
      <c r="A57" s="24"/>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row>
    <row r="58" customFormat="1" spans="1:29">
      <c r="A58" s="24"/>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row>
    <row r="59" customFormat="1" spans="1:29">
      <c r="A59" s="24"/>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customFormat="1" spans="1:29">
      <c r="A60" s="24"/>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customFormat="1" spans="1:29">
      <c r="A61" s="24"/>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customFormat="1" spans="1:29">
      <c r="A62" s="24"/>
      <c r="B62" s="10"/>
      <c r="C62" s="11"/>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row r="63" customFormat="1" spans="1:29">
      <c r="A63" s="24"/>
      <c r="B63" s="10"/>
      <c r="C63" s="11"/>
      <c r="D63" s="14"/>
      <c r="E63" s="14"/>
      <c r="F63" s="14"/>
      <c r="G63" s="14"/>
      <c r="H63" s="14"/>
      <c r="I63" s="14"/>
      <c r="J63" s="14"/>
      <c r="K63" s="13"/>
      <c r="L63" s="14"/>
      <c r="M63" s="14"/>
      <c r="N63" s="14"/>
      <c r="O63" s="14"/>
      <c r="P63" s="14"/>
      <c r="Q63" s="14"/>
      <c r="R63" s="14"/>
      <c r="S63" s="14"/>
      <c r="T63" s="14"/>
      <c r="U63" s="14"/>
      <c r="V63" s="14"/>
      <c r="W63" s="14"/>
      <c r="X63" s="14"/>
      <c r="Y63" s="14"/>
      <c r="Z63" s="14"/>
      <c r="AA63" s="14"/>
      <c r="AB63" s="13"/>
      <c r="AC63" s="14"/>
    </row>
    <row r="64" customFormat="1" spans="1:29">
      <c r="A64" s="24"/>
      <c r="B64" s="10"/>
      <c r="C64" s="11"/>
      <c r="D64" s="14"/>
      <c r="E64" s="14"/>
      <c r="F64" s="14"/>
      <c r="G64" s="14"/>
      <c r="H64" s="14"/>
      <c r="I64" s="14"/>
      <c r="J64" s="14"/>
      <c r="K64" s="13"/>
      <c r="L64" s="14"/>
      <c r="M64" s="14"/>
      <c r="N64" s="14"/>
      <c r="O64" s="14"/>
      <c r="P64" s="14"/>
      <c r="Q64" s="14"/>
      <c r="R64" s="14"/>
      <c r="S64" s="14"/>
      <c r="T64" s="14"/>
      <c r="U64" s="14"/>
      <c r="V64" s="14"/>
      <c r="W64" s="14"/>
      <c r="X64" s="14"/>
      <c r="Y64" s="14"/>
      <c r="Z64" s="14"/>
      <c r="AA64" s="14"/>
      <c r="AB64" s="13"/>
      <c r="AC64" s="14"/>
    </row>
    <row r="65" customFormat="1" spans="1:29">
      <c r="A65" s="24"/>
      <c r="B65" s="10"/>
      <c r="C65" s="11"/>
      <c r="D65" s="14"/>
      <c r="E65" s="14"/>
      <c r="F65" s="14"/>
      <c r="G65" s="14"/>
      <c r="H65" s="14"/>
      <c r="I65" s="14"/>
      <c r="J65" s="14"/>
      <c r="K65" s="13"/>
      <c r="L65" s="14"/>
      <c r="M65" s="14"/>
      <c r="N65" s="14"/>
      <c r="O65" s="14"/>
      <c r="P65" s="14"/>
      <c r="Q65" s="14"/>
      <c r="R65" s="14"/>
      <c r="S65" s="14"/>
      <c r="T65" s="14"/>
      <c r="U65" s="14"/>
      <c r="V65" s="14"/>
      <c r="W65" s="14"/>
      <c r="X65" s="14"/>
      <c r="Y65" s="14"/>
      <c r="Z65" s="14"/>
      <c r="AA65" s="14"/>
      <c r="AB65" s="13"/>
      <c r="AC65" s="14"/>
    </row>
    <row r="66" customFormat="1" spans="1:29">
      <c r="A66" s="24"/>
      <c r="B66" s="10"/>
      <c r="C66" s="11"/>
      <c r="D66" s="14"/>
      <c r="E66" s="14"/>
      <c r="F66" s="14"/>
      <c r="G66" s="14"/>
      <c r="H66" s="14"/>
      <c r="I66" s="14"/>
      <c r="J66" s="14"/>
      <c r="K66" s="13"/>
      <c r="L66" s="14"/>
      <c r="M66" s="14"/>
      <c r="N66" s="14"/>
      <c r="O66" s="14"/>
      <c r="P66" s="14"/>
      <c r="Q66" s="14"/>
      <c r="R66" s="14"/>
      <c r="S66" s="14"/>
      <c r="T66" s="14"/>
      <c r="U66" s="14"/>
      <c r="V66" s="14"/>
      <c r="W66" s="14"/>
      <c r="X66" s="14"/>
      <c r="Y66" s="14"/>
      <c r="Z66" s="14"/>
      <c r="AA66" s="14"/>
      <c r="AB66" s="13"/>
      <c r="AC66" s="14"/>
    </row>
    <row r="67" customFormat="1" spans="1:29">
      <c r="A67" s="24"/>
      <c r="B67" s="10"/>
      <c r="C67" s="11"/>
      <c r="D67" s="14"/>
      <c r="E67" s="14"/>
      <c r="F67" s="14"/>
      <c r="G67" s="14"/>
      <c r="H67" s="14"/>
      <c r="I67" s="14"/>
      <c r="J67" s="14"/>
      <c r="K67" s="13"/>
      <c r="L67" s="14"/>
      <c r="M67" s="14"/>
      <c r="N67" s="14"/>
      <c r="O67" s="14"/>
      <c r="P67" s="14"/>
      <c r="Q67" s="14"/>
      <c r="R67" s="14"/>
      <c r="S67" s="14"/>
      <c r="T67" s="14"/>
      <c r="U67" s="14"/>
      <c r="V67" s="14"/>
      <c r="W67" s="14"/>
      <c r="X67" s="14"/>
      <c r="Y67" s="14"/>
      <c r="Z67" s="14"/>
      <c r="AA67" s="14"/>
      <c r="AB67" s="13"/>
      <c r="AC67" s="14"/>
    </row>
    <row r="68" customFormat="1" spans="1:29">
      <c r="A68" s="24"/>
      <c r="B68" s="10"/>
      <c r="C68" s="11"/>
      <c r="D68" s="14"/>
      <c r="E68" s="14"/>
      <c r="F68" s="14"/>
      <c r="G68" s="14"/>
      <c r="H68" s="14"/>
      <c r="I68" s="14"/>
      <c r="J68" s="14"/>
      <c r="K68" s="13"/>
      <c r="L68" s="14"/>
      <c r="M68" s="14"/>
      <c r="N68" s="14"/>
      <c r="O68" s="14"/>
      <c r="P68" s="14"/>
      <c r="Q68" s="14"/>
      <c r="R68" s="14"/>
      <c r="S68" s="14"/>
      <c r="T68" s="14"/>
      <c r="U68" s="14"/>
      <c r="V68" s="14"/>
      <c r="W68" s="14"/>
      <c r="X68" s="14"/>
      <c r="Y68" s="14"/>
      <c r="Z68" s="14"/>
      <c r="AA68" s="14"/>
      <c r="AB68" s="13"/>
      <c r="AC68" s="14"/>
    </row>
    <row r="69" customFormat="1" spans="1:29">
      <c r="A69" s="24"/>
      <c r="B69" s="10"/>
      <c r="C69" s="11"/>
      <c r="D69" s="14"/>
      <c r="E69" s="14"/>
      <c r="F69" s="14"/>
      <c r="G69" s="14"/>
      <c r="H69" s="14"/>
      <c r="I69" s="14"/>
      <c r="J69" s="14"/>
      <c r="K69" s="13"/>
      <c r="L69" s="14"/>
      <c r="M69" s="14"/>
      <c r="N69" s="14"/>
      <c r="O69" s="14"/>
      <c r="P69" s="14"/>
      <c r="Q69" s="14"/>
      <c r="R69" s="14"/>
      <c r="S69" s="14"/>
      <c r="T69" s="14"/>
      <c r="U69" s="14"/>
      <c r="V69" s="14"/>
      <c r="W69" s="14"/>
      <c r="X69" s="14"/>
      <c r="Y69" s="14"/>
      <c r="Z69" s="14"/>
      <c r="AA69" s="14"/>
      <c r="AB69" s="13"/>
      <c r="AC69" s="14"/>
    </row>
    <row r="70" customFormat="1" spans="1:29">
      <c r="A70" s="24"/>
      <c r="B70" s="10"/>
      <c r="C70" s="11"/>
      <c r="D70" s="14"/>
      <c r="E70" s="14"/>
      <c r="F70" s="14"/>
      <c r="G70" s="14"/>
      <c r="H70" s="14"/>
      <c r="I70" s="14"/>
      <c r="J70" s="14"/>
      <c r="K70" s="13"/>
      <c r="L70" s="14"/>
      <c r="M70" s="14"/>
      <c r="N70" s="14"/>
      <c r="O70" s="14"/>
      <c r="P70" s="14"/>
      <c r="Q70" s="14"/>
      <c r="R70" s="14"/>
      <c r="S70" s="14"/>
      <c r="T70" s="14"/>
      <c r="U70" s="14"/>
      <c r="V70" s="14"/>
      <c r="W70" s="14"/>
      <c r="X70" s="14"/>
      <c r="Y70" s="14"/>
      <c r="Z70" s="14"/>
      <c r="AA70" s="14"/>
      <c r="AB70" s="13"/>
      <c r="AC70" s="14"/>
    </row>
    <row r="71" customFormat="1" spans="1:29">
      <c r="A71" s="24"/>
      <c r="B71" s="10"/>
      <c r="C71" s="11"/>
      <c r="D71" s="14"/>
      <c r="E71" s="14"/>
      <c r="F71" s="14"/>
      <c r="G71" s="14"/>
      <c r="H71" s="14"/>
      <c r="I71" s="14"/>
      <c r="J71" s="14"/>
      <c r="K71" s="13"/>
      <c r="L71" s="14"/>
      <c r="M71" s="14"/>
      <c r="N71" s="14"/>
      <c r="O71" s="14"/>
      <c r="P71" s="14"/>
      <c r="Q71" s="14"/>
      <c r="R71" s="14"/>
      <c r="S71" s="14"/>
      <c r="T71" s="14"/>
      <c r="U71" s="14"/>
      <c r="V71" s="14"/>
      <c r="W71" s="14"/>
      <c r="X71" s="14"/>
      <c r="Y71" s="14"/>
      <c r="Z71" s="14"/>
      <c r="AA71" s="14"/>
      <c r="AB71" s="13"/>
      <c r="AC71" s="14"/>
    </row>
    <row r="72" customFormat="1" spans="1:29">
      <c r="A72" s="24"/>
      <c r="B72" s="10"/>
      <c r="C72" s="11"/>
      <c r="D72" s="14"/>
      <c r="E72" s="14"/>
      <c r="F72" s="14"/>
      <c r="G72" s="14"/>
      <c r="H72" s="14"/>
      <c r="I72" s="14"/>
      <c r="J72" s="14"/>
      <c r="K72" s="13"/>
      <c r="L72" s="14"/>
      <c r="M72" s="14"/>
      <c r="N72" s="14"/>
      <c r="O72" s="14"/>
      <c r="P72" s="14"/>
      <c r="Q72" s="14"/>
      <c r="R72" s="14"/>
      <c r="S72" s="14"/>
      <c r="T72" s="14"/>
      <c r="U72" s="14"/>
      <c r="V72" s="14"/>
      <c r="W72" s="14"/>
      <c r="X72" s="14"/>
      <c r="Y72" s="14"/>
      <c r="Z72" s="14"/>
      <c r="AA72" s="14"/>
      <c r="AB72" s="13"/>
      <c r="AC72" s="14"/>
    </row>
    <row r="73" customFormat="1" spans="1:29">
      <c r="A73" s="24"/>
      <c r="B73" s="10"/>
      <c r="C73" s="11"/>
      <c r="D73" s="14"/>
      <c r="E73" s="14"/>
      <c r="F73" s="14"/>
      <c r="G73" s="14"/>
      <c r="H73" s="14"/>
      <c r="I73" s="14"/>
      <c r="J73" s="14"/>
      <c r="K73" s="13"/>
      <c r="L73" s="14"/>
      <c r="M73" s="14"/>
      <c r="N73" s="14"/>
      <c r="O73" s="14"/>
      <c r="P73" s="14"/>
      <c r="Q73" s="14"/>
      <c r="R73" s="14"/>
      <c r="S73" s="14"/>
      <c r="T73" s="14"/>
      <c r="U73" s="14"/>
      <c r="V73" s="14"/>
      <c r="W73" s="14"/>
      <c r="X73" s="14"/>
      <c r="Y73" s="14"/>
      <c r="Z73" s="14"/>
      <c r="AA73" s="14"/>
      <c r="AB73" s="13"/>
      <c r="AC73" s="14"/>
    </row>
    <row r="74" customFormat="1" spans="1:29">
      <c r="A74" s="24"/>
      <c r="B74" s="10"/>
      <c r="C74" s="11"/>
      <c r="D74" s="14"/>
      <c r="E74" s="14"/>
      <c r="F74" s="14"/>
      <c r="G74" s="14"/>
      <c r="H74" s="14"/>
      <c r="I74" s="14"/>
      <c r="J74" s="14"/>
      <c r="K74" s="13"/>
      <c r="L74" s="14"/>
      <c r="M74" s="14"/>
      <c r="N74" s="14"/>
      <c r="O74" s="14"/>
      <c r="P74" s="14"/>
      <c r="Q74" s="14"/>
      <c r="R74" s="14"/>
      <c r="S74" s="14"/>
      <c r="T74" s="14"/>
      <c r="U74" s="14"/>
      <c r="V74" s="14"/>
      <c r="W74" s="14"/>
      <c r="X74" s="14"/>
      <c r="Y74" s="14"/>
      <c r="Z74" s="14"/>
      <c r="AA74" s="14"/>
      <c r="AB74" s="13"/>
      <c r="AC74" s="14"/>
    </row>
    <row r="75" customFormat="1" spans="1:29">
      <c r="A75" s="24"/>
      <c r="B75" s="10"/>
      <c r="C75" s="11"/>
      <c r="D75" s="14"/>
      <c r="E75" s="14"/>
      <c r="F75" s="14"/>
      <c r="G75" s="14"/>
      <c r="H75" s="14"/>
      <c r="I75" s="14"/>
      <c r="J75" s="14"/>
      <c r="K75" s="13"/>
      <c r="L75" s="14"/>
      <c r="M75" s="14"/>
      <c r="N75" s="14"/>
      <c r="O75" s="14"/>
      <c r="P75" s="14"/>
      <c r="Q75" s="14"/>
      <c r="R75" s="14"/>
      <c r="S75" s="14"/>
      <c r="T75" s="14"/>
      <c r="U75" s="14"/>
      <c r="V75" s="14"/>
      <c r="W75" s="14"/>
      <c r="X75" s="14"/>
      <c r="Y75" s="14"/>
      <c r="Z75" s="14"/>
      <c r="AA75" s="14"/>
      <c r="AB75" s="13"/>
      <c r="AC75" s="14"/>
    </row>
    <row r="76" customFormat="1" spans="1:29">
      <c r="A76" s="24"/>
      <c r="B76" s="10"/>
      <c r="C76" s="11"/>
      <c r="D76" s="14"/>
      <c r="E76" s="14"/>
      <c r="F76" s="14"/>
      <c r="G76" s="14"/>
      <c r="H76" s="14"/>
      <c r="I76" s="14"/>
      <c r="J76" s="14"/>
      <c r="K76" s="13"/>
      <c r="L76" s="14"/>
      <c r="M76" s="14"/>
      <c r="N76" s="14"/>
      <c r="O76" s="14"/>
      <c r="P76" s="14"/>
      <c r="Q76" s="14"/>
      <c r="R76" s="14"/>
      <c r="S76" s="14"/>
      <c r="T76" s="14"/>
      <c r="U76" s="14"/>
      <c r="V76" s="14"/>
      <c r="W76" s="14"/>
      <c r="X76" s="14"/>
      <c r="Y76" s="14"/>
      <c r="Z76" s="14"/>
      <c r="AA76" s="14"/>
      <c r="AB76" s="13"/>
      <c r="AC76" s="14"/>
    </row>
    <row r="77" customFormat="1" spans="1:29">
      <c r="A77" s="24"/>
      <c r="B77" s="10"/>
      <c r="C77" s="11"/>
      <c r="D77" s="14"/>
      <c r="E77" s="14"/>
      <c r="F77" s="14"/>
      <c r="G77" s="14"/>
      <c r="H77" s="14"/>
      <c r="I77" s="14"/>
      <c r="J77" s="14"/>
      <c r="K77" s="13"/>
      <c r="L77" s="14"/>
      <c r="M77" s="14"/>
      <c r="N77" s="14"/>
      <c r="O77" s="14"/>
      <c r="P77" s="14"/>
      <c r="Q77" s="14"/>
      <c r="R77" s="14"/>
      <c r="S77" s="14"/>
      <c r="T77" s="14"/>
      <c r="U77" s="14"/>
      <c r="V77" s="14"/>
      <c r="W77" s="14"/>
      <c r="X77" s="14"/>
      <c r="Y77" s="14"/>
      <c r="Z77" s="14"/>
      <c r="AA77" s="14"/>
      <c r="AB77" s="13"/>
      <c r="AC77" s="14"/>
    </row>
    <row r="78" customFormat="1" spans="1:29">
      <c r="A78" s="24"/>
      <c r="B78" s="10"/>
      <c r="C78" s="11"/>
      <c r="D78" s="14"/>
      <c r="E78" s="14"/>
      <c r="F78" s="14"/>
      <c r="G78" s="14"/>
      <c r="H78" s="14"/>
      <c r="I78" s="14"/>
      <c r="J78" s="14"/>
      <c r="K78" s="13"/>
      <c r="L78" s="14"/>
      <c r="M78" s="14"/>
      <c r="N78" s="14"/>
      <c r="O78" s="14"/>
      <c r="P78" s="14"/>
      <c r="Q78" s="14"/>
      <c r="R78" s="14"/>
      <c r="S78" s="14"/>
      <c r="T78" s="14"/>
      <c r="U78" s="14"/>
      <c r="V78" s="14"/>
      <c r="W78" s="14"/>
      <c r="X78" s="14"/>
      <c r="Y78" s="14"/>
      <c r="Z78" s="14"/>
      <c r="AA78" s="14"/>
      <c r="AB78" s="13"/>
      <c r="AC78" s="14"/>
    </row>
    <row r="79" customFormat="1" spans="1:29">
      <c r="A79" s="24"/>
      <c r="B79" s="10"/>
      <c r="C79" s="11"/>
      <c r="D79" s="14"/>
      <c r="E79" s="14"/>
      <c r="F79" s="14"/>
      <c r="G79" s="14"/>
      <c r="H79" s="14"/>
      <c r="I79" s="14"/>
      <c r="J79" s="14"/>
      <c r="K79" s="13"/>
      <c r="L79" s="14"/>
      <c r="M79" s="14"/>
      <c r="N79" s="14"/>
      <c r="O79" s="14"/>
      <c r="P79" s="14"/>
      <c r="Q79" s="14"/>
      <c r="R79" s="14"/>
      <c r="S79" s="14"/>
      <c r="T79" s="14"/>
      <c r="U79" s="14"/>
      <c r="V79" s="14"/>
      <c r="W79" s="14"/>
      <c r="X79" s="14"/>
      <c r="Y79" s="14"/>
      <c r="Z79" s="14"/>
      <c r="AA79" s="14"/>
      <c r="AB79" s="13"/>
      <c r="AC79" s="14"/>
    </row>
    <row r="80" customFormat="1" spans="1:29">
      <c r="A80" s="24"/>
      <c r="B80" s="10"/>
      <c r="C80" s="11"/>
      <c r="D80" s="14"/>
      <c r="E80" s="14"/>
      <c r="F80" s="14"/>
      <c r="G80" s="14"/>
      <c r="H80" s="14"/>
      <c r="I80" s="14"/>
      <c r="J80" s="14"/>
      <c r="K80" s="13"/>
      <c r="L80" s="14"/>
      <c r="M80" s="14"/>
      <c r="N80" s="14"/>
      <c r="O80" s="14"/>
      <c r="P80" s="14"/>
      <c r="Q80" s="14"/>
      <c r="R80" s="14"/>
      <c r="S80" s="14"/>
      <c r="T80" s="14"/>
      <c r="U80" s="14"/>
      <c r="V80" s="14"/>
      <c r="W80" s="14"/>
      <c r="X80" s="14"/>
      <c r="Y80" s="14"/>
      <c r="Z80" s="14"/>
      <c r="AA80" s="14"/>
      <c r="AB80" s="13"/>
      <c r="AC80" s="14"/>
    </row>
    <row r="81" customFormat="1" spans="1:29">
      <c r="A81" s="24"/>
      <c r="B81" s="10"/>
      <c r="C81" s="11"/>
      <c r="D81" s="14"/>
      <c r="E81" s="14"/>
      <c r="F81" s="14"/>
      <c r="G81" s="14"/>
      <c r="H81" s="14"/>
      <c r="I81" s="14"/>
      <c r="J81" s="14"/>
      <c r="K81" s="13"/>
      <c r="L81" s="14"/>
      <c r="M81" s="14"/>
      <c r="N81" s="14"/>
      <c r="O81" s="14"/>
      <c r="P81" s="14"/>
      <c r="Q81" s="14"/>
      <c r="R81" s="14"/>
      <c r="S81" s="14"/>
      <c r="T81" s="14"/>
      <c r="U81" s="14"/>
      <c r="V81" s="14"/>
      <c r="W81" s="14"/>
      <c r="X81" s="14"/>
      <c r="Y81" s="14"/>
      <c r="Z81" s="14"/>
      <c r="AA81" s="14"/>
      <c r="AB81" s="13"/>
      <c r="AC81" s="14"/>
    </row>
    <row r="82" customFormat="1" spans="1:29">
      <c r="A82" s="24"/>
      <c r="B82" s="10"/>
      <c r="C82" s="11"/>
      <c r="D82" s="14"/>
      <c r="E82" s="14"/>
      <c r="F82" s="14"/>
      <c r="G82" s="14"/>
      <c r="H82" s="14"/>
      <c r="I82" s="14"/>
      <c r="J82" s="14"/>
      <c r="K82" s="13"/>
      <c r="L82" s="14"/>
      <c r="M82" s="14"/>
      <c r="N82" s="14"/>
      <c r="O82" s="14"/>
      <c r="P82" s="14"/>
      <c r="Q82" s="14"/>
      <c r="R82" s="14"/>
      <c r="S82" s="14"/>
      <c r="T82" s="14"/>
      <c r="U82" s="14"/>
      <c r="V82" s="14"/>
      <c r="W82" s="14"/>
      <c r="X82" s="14"/>
      <c r="Y82" s="14"/>
      <c r="Z82" s="14"/>
      <c r="AA82" s="14"/>
      <c r="AB82" s="13"/>
      <c r="AC82" s="14"/>
    </row>
    <row r="83" customFormat="1" spans="1:29">
      <c r="A83" s="24"/>
      <c r="B83" s="10"/>
      <c r="C83" s="11"/>
      <c r="D83" s="14"/>
      <c r="E83" s="14"/>
      <c r="F83" s="14"/>
      <c r="G83" s="14"/>
      <c r="H83" s="14"/>
      <c r="I83" s="14"/>
      <c r="J83" s="14"/>
      <c r="K83" s="13"/>
      <c r="L83" s="14"/>
      <c r="M83" s="14"/>
      <c r="N83" s="14"/>
      <c r="O83" s="14"/>
      <c r="P83" s="14"/>
      <c r="Q83" s="14"/>
      <c r="R83" s="14"/>
      <c r="S83" s="14"/>
      <c r="T83" s="14"/>
      <c r="U83" s="14"/>
      <c r="V83" s="14"/>
      <c r="W83" s="14"/>
      <c r="X83" s="14"/>
      <c r="Y83" s="14"/>
      <c r="Z83" s="14"/>
      <c r="AA83" s="14"/>
      <c r="AB83" s="13"/>
      <c r="AC83" s="14"/>
    </row>
    <row r="84" customFormat="1" spans="1:29">
      <c r="A84" s="24"/>
      <c r="B84" s="10"/>
      <c r="C84" s="11"/>
      <c r="D84" s="14"/>
      <c r="E84" s="14"/>
      <c r="F84" s="14"/>
      <c r="G84" s="14"/>
      <c r="H84" s="14"/>
      <c r="I84" s="14"/>
      <c r="J84" s="14"/>
      <c r="K84" s="13"/>
      <c r="L84" s="14"/>
      <c r="M84" s="14"/>
      <c r="N84" s="14"/>
      <c r="O84" s="14"/>
      <c r="P84" s="14"/>
      <c r="Q84" s="14"/>
      <c r="R84" s="14"/>
      <c r="S84" s="14"/>
      <c r="T84" s="14"/>
      <c r="U84" s="14"/>
      <c r="V84" s="14"/>
      <c r="W84" s="14"/>
      <c r="X84" s="14"/>
      <c r="Y84" s="14"/>
      <c r="Z84" s="14"/>
      <c r="AA84" s="14"/>
      <c r="AB84" s="13"/>
      <c r="AC84" s="14"/>
    </row>
    <row r="85" customFormat="1" spans="1:29">
      <c r="A85" s="24"/>
      <c r="B85" s="10"/>
      <c r="C85" s="11"/>
      <c r="D85" s="14"/>
      <c r="E85" s="14"/>
      <c r="F85" s="14"/>
      <c r="G85" s="14"/>
      <c r="H85" s="14"/>
      <c r="I85" s="14"/>
      <c r="J85" s="14"/>
      <c r="K85" s="13"/>
      <c r="L85" s="14"/>
      <c r="M85" s="14"/>
      <c r="N85" s="14"/>
      <c r="O85" s="14"/>
      <c r="P85" s="14"/>
      <c r="Q85" s="14"/>
      <c r="R85" s="14"/>
      <c r="S85" s="14"/>
      <c r="T85" s="14"/>
      <c r="U85" s="14"/>
      <c r="V85" s="14"/>
      <c r="W85" s="14"/>
      <c r="X85" s="14"/>
      <c r="Y85" s="14"/>
      <c r="Z85" s="14"/>
      <c r="AA85" s="14"/>
      <c r="AB85" s="13"/>
      <c r="AC85" s="14"/>
    </row>
    <row r="86" customFormat="1" spans="1:29">
      <c r="A86" s="24"/>
      <c r="B86" s="10"/>
      <c r="C86" s="11"/>
      <c r="D86" s="14"/>
      <c r="E86" s="14"/>
      <c r="F86" s="14"/>
      <c r="G86" s="14"/>
      <c r="H86" s="14"/>
      <c r="I86" s="14"/>
      <c r="J86" s="14"/>
      <c r="K86" s="13"/>
      <c r="L86" s="14"/>
      <c r="M86" s="14"/>
      <c r="N86" s="14"/>
      <c r="O86" s="14"/>
      <c r="P86" s="14"/>
      <c r="Q86" s="14"/>
      <c r="R86" s="14"/>
      <c r="S86" s="14"/>
      <c r="T86" s="14"/>
      <c r="U86" s="14"/>
      <c r="V86" s="14"/>
      <c r="W86" s="14"/>
      <c r="X86" s="14"/>
      <c r="Y86" s="14"/>
      <c r="Z86" s="14"/>
      <c r="AA86" s="14"/>
      <c r="AB86" s="13"/>
      <c r="AC86" s="14"/>
    </row>
    <row r="87" customFormat="1" spans="1:29">
      <c r="A87" s="24"/>
      <c r="B87" s="10"/>
      <c r="C87" s="11"/>
      <c r="D87" s="14"/>
      <c r="E87" s="14"/>
      <c r="F87" s="14"/>
      <c r="G87" s="14"/>
      <c r="H87" s="14"/>
      <c r="I87" s="14"/>
      <c r="J87" s="14"/>
      <c r="K87" s="13"/>
      <c r="L87" s="14"/>
      <c r="M87" s="14"/>
      <c r="N87" s="14"/>
      <c r="O87" s="14"/>
      <c r="P87" s="14"/>
      <c r="Q87" s="14"/>
      <c r="R87" s="14"/>
      <c r="S87" s="14"/>
      <c r="T87" s="14"/>
      <c r="U87" s="14"/>
      <c r="V87" s="14"/>
      <c r="W87" s="14"/>
      <c r="X87" s="14"/>
      <c r="Y87" s="14"/>
      <c r="Z87" s="14"/>
      <c r="AA87" s="14"/>
      <c r="AB87" s="13"/>
      <c r="AC87" s="14"/>
    </row>
    <row r="88" customFormat="1" spans="1:29">
      <c r="A88" s="24"/>
      <c r="B88" s="10"/>
      <c r="C88" s="11"/>
      <c r="D88" s="14"/>
      <c r="E88" s="14"/>
      <c r="F88" s="14"/>
      <c r="G88" s="14"/>
      <c r="H88" s="14"/>
      <c r="I88" s="14"/>
      <c r="J88" s="14"/>
      <c r="K88" s="13"/>
      <c r="L88" s="14"/>
      <c r="M88" s="14"/>
      <c r="N88" s="14"/>
      <c r="O88" s="14"/>
      <c r="P88" s="14"/>
      <c r="Q88" s="14"/>
      <c r="R88" s="14"/>
      <c r="S88" s="14"/>
      <c r="T88" s="14"/>
      <c r="U88" s="14"/>
      <c r="V88" s="14"/>
      <c r="W88" s="14"/>
      <c r="X88" s="14"/>
      <c r="Y88" s="14"/>
      <c r="Z88" s="14"/>
      <c r="AA88" s="14"/>
      <c r="AB88" s="13"/>
      <c r="AC88" s="14"/>
    </row>
    <row r="89" customFormat="1" spans="1:29">
      <c r="A89" s="24"/>
      <c r="B89" s="10"/>
      <c r="C89" s="11"/>
      <c r="D89" s="14"/>
      <c r="E89" s="14"/>
      <c r="F89" s="14"/>
      <c r="G89" s="14"/>
      <c r="H89" s="14"/>
      <c r="I89" s="14"/>
      <c r="J89" s="14"/>
      <c r="K89" s="13"/>
      <c r="L89" s="14"/>
      <c r="M89" s="14"/>
      <c r="N89" s="14"/>
      <c r="O89" s="14"/>
      <c r="P89" s="14"/>
      <c r="Q89" s="14"/>
      <c r="R89" s="14"/>
      <c r="S89" s="14"/>
      <c r="T89" s="14"/>
      <c r="U89" s="14"/>
      <c r="V89" s="14"/>
      <c r="W89" s="14"/>
      <c r="X89" s="14"/>
      <c r="Y89" s="14"/>
      <c r="Z89" s="14"/>
      <c r="AA89" s="14"/>
      <c r="AB89" s="13"/>
      <c r="AC89" s="14"/>
    </row>
    <row r="90" customFormat="1" spans="1:29">
      <c r="A90" s="24"/>
      <c r="B90" s="10"/>
      <c r="C90" s="11"/>
      <c r="D90" s="14"/>
      <c r="E90" s="14"/>
      <c r="F90" s="14"/>
      <c r="G90" s="14"/>
      <c r="H90" s="14"/>
      <c r="I90" s="14"/>
      <c r="J90" s="14"/>
      <c r="K90" s="13"/>
      <c r="L90" s="14"/>
      <c r="M90" s="14"/>
      <c r="N90" s="14"/>
      <c r="O90" s="14"/>
      <c r="P90" s="14"/>
      <c r="Q90" s="14"/>
      <c r="R90" s="14"/>
      <c r="S90" s="14"/>
      <c r="T90" s="14"/>
      <c r="U90" s="14"/>
      <c r="V90" s="14"/>
      <c r="W90" s="14"/>
      <c r="X90" s="14"/>
      <c r="Y90" s="14"/>
      <c r="Z90" s="14"/>
      <c r="AA90" s="14"/>
      <c r="AB90" s="13"/>
      <c r="AC90" s="14"/>
    </row>
    <row r="91" customFormat="1" spans="1:29">
      <c r="A91" s="24"/>
      <c r="B91" s="10"/>
      <c r="C91" s="11"/>
      <c r="D91" s="14"/>
      <c r="E91" s="14"/>
      <c r="F91" s="14"/>
      <c r="G91" s="14"/>
      <c r="H91" s="14"/>
      <c r="I91" s="14"/>
      <c r="J91" s="14"/>
      <c r="K91" s="13"/>
      <c r="L91" s="14"/>
      <c r="M91" s="14"/>
      <c r="N91" s="14"/>
      <c r="O91" s="14"/>
      <c r="P91" s="14"/>
      <c r="Q91" s="14"/>
      <c r="R91" s="14"/>
      <c r="S91" s="14"/>
      <c r="T91" s="14"/>
      <c r="U91" s="14"/>
      <c r="V91" s="14"/>
      <c r="W91" s="14"/>
      <c r="X91" s="14"/>
      <c r="Y91" s="14"/>
      <c r="Z91" s="14"/>
      <c r="AA91" s="14"/>
      <c r="AB91" s="13"/>
      <c r="AC91" s="14"/>
    </row>
    <row r="92" customFormat="1" spans="1:29">
      <c r="A92" s="24"/>
      <c r="B92" s="27"/>
      <c r="D92" s="14"/>
      <c r="E92" s="14"/>
      <c r="F92" s="14"/>
      <c r="G92" s="14"/>
      <c r="H92" s="14"/>
      <c r="I92" s="14"/>
      <c r="J92" s="14"/>
      <c r="K92" s="13"/>
      <c r="L92" s="14"/>
      <c r="M92" s="14"/>
      <c r="N92" s="14"/>
      <c r="O92" s="14"/>
      <c r="P92" s="14"/>
      <c r="Q92" s="14"/>
      <c r="R92" s="14"/>
      <c r="S92" s="14"/>
      <c r="T92" s="14"/>
      <c r="U92" s="14"/>
      <c r="V92" s="14"/>
      <c r="W92" s="14"/>
      <c r="X92" s="14"/>
      <c r="Y92" s="14"/>
      <c r="Z92" s="14"/>
      <c r="AA92" s="14"/>
      <c r="AB92" s="13"/>
      <c r="AC92" s="14"/>
    </row>
  </sheetData>
  <mergeCells count="4">
    <mergeCell ref="A1:AB1"/>
    <mergeCell ref="A3:A9"/>
    <mergeCell ref="A10:A27"/>
    <mergeCell ref="A42:A4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zoomScale="60" zoomScaleNormal="60" topLeftCell="C20" workbookViewId="0">
      <selection activeCell="AC20" sqref="AC$1:AC$1048576"/>
    </sheetView>
  </sheetViews>
  <sheetFormatPr defaultColWidth="9.64601769911504" defaultRowHeight="13.5"/>
  <cols>
    <col min="1" max="1" width="4.52212389380531" style="24" customWidth="1"/>
    <col min="2" max="2" width="99.2743362831858" style="27" customWidth="1"/>
    <col min="3" max="3" width="43.4601769911504" customWidth="1"/>
    <col min="4" max="9" width="6.52212389380531" customWidth="1"/>
    <col min="10" max="10" width="10.5663716814159" customWidth="1"/>
    <col min="11" max="11" width="9" style="28"/>
    <col min="27" max="27" width="12.9380530973451" customWidth="1"/>
    <col min="28" max="28" width="9" style="28"/>
    <col min="29" max="29" width="19.4424778761062" customWidth="1"/>
  </cols>
  <sheetData>
    <row r="1" s="1" customFormat="1" spans="1:29">
      <c r="A1" s="2" t="s">
        <v>132</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94.5" spans="1:29">
      <c r="A3" s="15"/>
      <c r="B3" s="10" t="s">
        <v>235</v>
      </c>
      <c r="C3" s="11" t="s">
        <v>236</v>
      </c>
      <c r="D3" s="16">
        <v>5</v>
      </c>
      <c r="E3" s="16">
        <v>5</v>
      </c>
      <c r="F3" s="16">
        <v>5</v>
      </c>
      <c r="G3" s="16">
        <v>5</v>
      </c>
      <c r="H3" s="16">
        <v>5</v>
      </c>
      <c r="I3" s="16">
        <v>5</v>
      </c>
      <c r="J3" s="16">
        <v>5</v>
      </c>
      <c r="K3" s="13">
        <f t="shared" ref="K3:K22" si="0">SUM(D3:J3)</f>
        <v>35</v>
      </c>
      <c r="L3" s="16">
        <v>5</v>
      </c>
      <c r="M3" s="16">
        <v>5</v>
      </c>
      <c r="N3" s="16">
        <v>3</v>
      </c>
      <c r="O3" s="16">
        <v>4</v>
      </c>
      <c r="P3" s="16">
        <v>1</v>
      </c>
      <c r="Q3" s="16">
        <v>4</v>
      </c>
      <c r="R3" s="16">
        <v>4</v>
      </c>
      <c r="S3" s="16">
        <v>3</v>
      </c>
      <c r="T3" s="16">
        <v>5</v>
      </c>
      <c r="U3" s="16">
        <v>5</v>
      </c>
      <c r="V3" s="16">
        <v>5</v>
      </c>
      <c r="W3" s="16">
        <v>4</v>
      </c>
      <c r="X3" s="16">
        <v>1</v>
      </c>
      <c r="Y3" s="16">
        <v>3</v>
      </c>
      <c r="Z3" s="16">
        <v>3</v>
      </c>
      <c r="AA3" s="16">
        <v>3</v>
      </c>
      <c r="AB3" s="13">
        <f t="shared" ref="AB3:AB22" si="1">SUM(L3:AA3)</f>
        <v>58</v>
      </c>
      <c r="AC3" s="14"/>
    </row>
    <row r="4" ht="121.5" spans="1:29">
      <c r="A4" s="15"/>
      <c r="B4" s="10" t="s">
        <v>237</v>
      </c>
      <c r="C4" s="11" t="s">
        <v>238</v>
      </c>
      <c r="D4" s="16">
        <v>5</v>
      </c>
      <c r="E4" s="16">
        <v>5</v>
      </c>
      <c r="F4" s="16">
        <v>5</v>
      </c>
      <c r="G4" s="16">
        <v>5</v>
      </c>
      <c r="H4" s="16">
        <v>5</v>
      </c>
      <c r="I4" s="16">
        <v>5</v>
      </c>
      <c r="J4" s="16">
        <v>5</v>
      </c>
      <c r="K4" s="13">
        <f t="shared" si="0"/>
        <v>35</v>
      </c>
      <c r="L4" s="16">
        <v>5</v>
      </c>
      <c r="M4" s="16">
        <v>5</v>
      </c>
      <c r="N4" s="16">
        <v>3</v>
      </c>
      <c r="O4" s="16">
        <v>4</v>
      </c>
      <c r="P4" s="16">
        <v>1</v>
      </c>
      <c r="Q4" s="16">
        <v>4</v>
      </c>
      <c r="R4" s="16">
        <v>4</v>
      </c>
      <c r="S4" s="16">
        <v>3</v>
      </c>
      <c r="T4" s="16">
        <v>5</v>
      </c>
      <c r="U4" s="16">
        <v>5</v>
      </c>
      <c r="V4" s="16">
        <v>5</v>
      </c>
      <c r="W4" s="16">
        <v>4</v>
      </c>
      <c r="X4" s="16">
        <v>1</v>
      </c>
      <c r="Y4" s="16">
        <v>3</v>
      </c>
      <c r="Z4" s="16">
        <v>3</v>
      </c>
      <c r="AA4" s="16">
        <v>3</v>
      </c>
      <c r="AB4" s="13">
        <f t="shared" si="1"/>
        <v>58</v>
      </c>
      <c r="AC4" s="14"/>
    </row>
    <row r="5" ht="135" spans="1:29">
      <c r="A5" s="15"/>
      <c r="B5" s="10" t="s">
        <v>239</v>
      </c>
      <c r="C5" s="11" t="s">
        <v>240</v>
      </c>
      <c r="D5" s="16">
        <v>5</v>
      </c>
      <c r="E5" s="16">
        <v>5</v>
      </c>
      <c r="F5" s="16">
        <v>5</v>
      </c>
      <c r="G5" s="16">
        <v>5</v>
      </c>
      <c r="H5" s="16">
        <v>5</v>
      </c>
      <c r="I5" s="16">
        <v>5</v>
      </c>
      <c r="J5" s="16">
        <v>5</v>
      </c>
      <c r="K5" s="13">
        <f t="shared" si="0"/>
        <v>35</v>
      </c>
      <c r="L5" s="16">
        <v>5</v>
      </c>
      <c r="M5" s="16">
        <v>5</v>
      </c>
      <c r="N5" s="16">
        <v>3</v>
      </c>
      <c r="O5" s="16">
        <v>4</v>
      </c>
      <c r="P5" s="16">
        <v>1</v>
      </c>
      <c r="Q5" s="16">
        <v>4</v>
      </c>
      <c r="R5" s="16">
        <v>4</v>
      </c>
      <c r="S5" s="16">
        <v>3</v>
      </c>
      <c r="T5" s="16">
        <v>5</v>
      </c>
      <c r="U5" s="16">
        <v>5</v>
      </c>
      <c r="V5" s="16">
        <v>5</v>
      </c>
      <c r="W5" s="16">
        <v>4</v>
      </c>
      <c r="X5" s="16">
        <v>1</v>
      </c>
      <c r="Y5" s="16">
        <v>3</v>
      </c>
      <c r="Z5" s="16">
        <v>3</v>
      </c>
      <c r="AA5" s="16">
        <v>3</v>
      </c>
      <c r="AB5" s="13">
        <f t="shared" si="1"/>
        <v>58</v>
      </c>
      <c r="AC5" s="14"/>
    </row>
    <row r="6" ht="162" spans="1:29">
      <c r="A6" s="15"/>
      <c r="B6" s="10" t="s">
        <v>241</v>
      </c>
      <c r="C6" s="11" t="s">
        <v>242</v>
      </c>
      <c r="D6" s="16">
        <v>5</v>
      </c>
      <c r="E6" s="16">
        <v>5</v>
      </c>
      <c r="F6" s="16">
        <v>5</v>
      </c>
      <c r="G6" s="16">
        <v>5</v>
      </c>
      <c r="H6" s="16">
        <v>5</v>
      </c>
      <c r="I6" s="16">
        <v>5</v>
      </c>
      <c r="J6" s="16">
        <v>5</v>
      </c>
      <c r="K6" s="13">
        <f t="shared" si="0"/>
        <v>35</v>
      </c>
      <c r="L6" s="16">
        <v>5</v>
      </c>
      <c r="M6" s="16">
        <v>4</v>
      </c>
      <c r="N6" s="16">
        <v>3</v>
      </c>
      <c r="O6" s="16">
        <v>4</v>
      </c>
      <c r="P6" s="16">
        <v>1</v>
      </c>
      <c r="Q6" s="16">
        <v>4</v>
      </c>
      <c r="R6" s="16">
        <v>4</v>
      </c>
      <c r="S6" s="16">
        <v>5</v>
      </c>
      <c r="T6" s="16">
        <v>5</v>
      </c>
      <c r="U6" s="16">
        <v>5</v>
      </c>
      <c r="V6" s="16">
        <v>5</v>
      </c>
      <c r="W6" s="16">
        <v>3</v>
      </c>
      <c r="X6" s="16">
        <v>2</v>
      </c>
      <c r="Y6" s="16">
        <v>3</v>
      </c>
      <c r="Z6" s="16">
        <v>3</v>
      </c>
      <c r="AA6" s="16">
        <v>4</v>
      </c>
      <c r="AB6" s="13">
        <f t="shared" si="1"/>
        <v>60</v>
      </c>
      <c r="AC6" s="14"/>
    </row>
    <row r="7" ht="135" spans="1:29">
      <c r="A7" s="15"/>
      <c r="B7" s="10" t="s">
        <v>243</v>
      </c>
      <c r="C7" s="11" t="s">
        <v>244</v>
      </c>
      <c r="D7" s="16">
        <v>5</v>
      </c>
      <c r="E7" s="16">
        <v>5</v>
      </c>
      <c r="F7" s="16">
        <v>5</v>
      </c>
      <c r="G7" s="16">
        <v>5</v>
      </c>
      <c r="H7" s="16">
        <v>5</v>
      </c>
      <c r="I7" s="16">
        <v>5</v>
      </c>
      <c r="J7" s="16">
        <v>5</v>
      </c>
      <c r="K7" s="13">
        <f t="shared" si="0"/>
        <v>35</v>
      </c>
      <c r="L7" s="16">
        <v>5</v>
      </c>
      <c r="M7" s="16">
        <v>5</v>
      </c>
      <c r="N7" s="16">
        <v>3</v>
      </c>
      <c r="O7" s="16">
        <v>5</v>
      </c>
      <c r="P7" s="16">
        <v>1</v>
      </c>
      <c r="Q7" s="16">
        <v>4</v>
      </c>
      <c r="R7" s="16">
        <v>4</v>
      </c>
      <c r="S7" s="16">
        <v>5</v>
      </c>
      <c r="T7" s="16">
        <v>5</v>
      </c>
      <c r="U7" s="16">
        <v>5</v>
      </c>
      <c r="V7" s="16">
        <v>5</v>
      </c>
      <c r="W7" s="16">
        <v>3</v>
      </c>
      <c r="X7" s="16">
        <v>1</v>
      </c>
      <c r="Y7" s="16">
        <v>2</v>
      </c>
      <c r="Z7" s="16">
        <v>3</v>
      </c>
      <c r="AA7" s="16">
        <v>3</v>
      </c>
      <c r="AB7" s="13">
        <f t="shared" si="1"/>
        <v>59</v>
      </c>
      <c r="AC7" s="13"/>
    </row>
    <row r="8" ht="135" spans="1:29">
      <c r="A8" s="15"/>
      <c r="B8" s="10" t="s">
        <v>245</v>
      </c>
      <c r="C8" s="11" t="s">
        <v>246</v>
      </c>
      <c r="D8" s="16">
        <v>5</v>
      </c>
      <c r="E8" s="16">
        <v>5</v>
      </c>
      <c r="F8" s="16">
        <v>5</v>
      </c>
      <c r="G8" s="16">
        <v>5</v>
      </c>
      <c r="H8" s="16">
        <v>5</v>
      </c>
      <c r="I8" s="16">
        <v>5</v>
      </c>
      <c r="J8" s="16">
        <v>5</v>
      </c>
      <c r="K8" s="13">
        <f t="shared" si="0"/>
        <v>35</v>
      </c>
      <c r="L8" s="16">
        <v>5</v>
      </c>
      <c r="M8" s="16">
        <v>4</v>
      </c>
      <c r="N8" s="16">
        <v>3</v>
      </c>
      <c r="O8" s="16">
        <v>4</v>
      </c>
      <c r="P8" s="16">
        <v>1</v>
      </c>
      <c r="Q8" s="16">
        <v>4</v>
      </c>
      <c r="R8" s="16">
        <v>4</v>
      </c>
      <c r="S8" s="16">
        <v>5</v>
      </c>
      <c r="T8" s="16">
        <v>5</v>
      </c>
      <c r="U8" s="16">
        <v>5</v>
      </c>
      <c r="V8" s="16">
        <v>5</v>
      </c>
      <c r="W8" s="16">
        <v>3</v>
      </c>
      <c r="X8" s="16">
        <v>2</v>
      </c>
      <c r="Y8" s="16">
        <v>3</v>
      </c>
      <c r="Z8" s="16">
        <v>3</v>
      </c>
      <c r="AA8" s="16">
        <v>4</v>
      </c>
      <c r="AB8" s="13">
        <f t="shared" si="1"/>
        <v>60</v>
      </c>
      <c r="AC8" s="14"/>
    </row>
    <row r="9" ht="121.5" spans="1:29">
      <c r="A9" s="15"/>
      <c r="B9" s="10" t="s">
        <v>247</v>
      </c>
      <c r="C9" s="11" t="s">
        <v>248</v>
      </c>
      <c r="D9" s="16">
        <v>5</v>
      </c>
      <c r="E9" s="16">
        <v>4</v>
      </c>
      <c r="F9" s="16">
        <v>5</v>
      </c>
      <c r="G9" s="16">
        <v>5</v>
      </c>
      <c r="H9" s="16">
        <v>5</v>
      </c>
      <c r="I9" s="16">
        <v>5</v>
      </c>
      <c r="J9" s="16">
        <v>4</v>
      </c>
      <c r="K9" s="13">
        <f t="shared" si="0"/>
        <v>33</v>
      </c>
      <c r="L9" s="16">
        <v>5</v>
      </c>
      <c r="M9" s="16">
        <v>4</v>
      </c>
      <c r="N9" s="16">
        <v>3</v>
      </c>
      <c r="O9" s="16">
        <v>4</v>
      </c>
      <c r="P9" s="16">
        <v>1</v>
      </c>
      <c r="Q9" s="16">
        <v>4</v>
      </c>
      <c r="R9" s="16">
        <v>4</v>
      </c>
      <c r="S9" s="16">
        <v>5</v>
      </c>
      <c r="T9" s="16">
        <v>5</v>
      </c>
      <c r="U9" s="16">
        <v>5</v>
      </c>
      <c r="V9" s="16">
        <v>5</v>
      </c>
      <c r="W9" s="16">
        <v>4</v>
      </c>
      <c r="X9" s="16">
        <v>2</v>
      </c>
      <c r="Y9" s="16">
        <v>3</v>
      </c>
      <c r="Z9" s="16">
        <v>3</v>
      </c>
      <c r="AA9" s="16">
        <v>4</v>
      </c>
      <c r="AB9" s="13">
        <f t="shared" si="1"/>
        <v>61</v>
      </c>
      <c r="AC9" s="14"/>
    </row>
    <row r="10" ht="202.5" spans="1:29">
      <c r="A10" s="15"/>
      <c r="B10" s="10" t="s">
        <v>249</v>
      </c>
      <c r="C10" s="11" t="s">
        <v>250</v>
      </c>
      <c r="D10" s="16">
        <v>5</v>
      </c>
      <c r="E10" s="16">
        <v>4</v>
      </c>
      <c r="F10" s="16">
        <v>5</v>
      </c>
      <c r="G10" s="16">
        <v>5</v>
      </c>
      <c r="H10" s="16">
        <v>5</v>
      </c>
      <c r="I10" s="16">
        <v>5</v>
      </c>
      <c r="J10" s="16">
        <v>4</v>
      </c>
      <c r="K10" s="13">
        <f t="shared" si="0"/>
        <v>33</v>
      </c>
      <c r="L10" s="16">
        <v>5</v>
      </c>
      <c r="M10" s="16">
        <v>4</v>
      </c>
      <c r="N10" s="16">
        <v>3</v>
      </c>
      <c r="O10" s="16">
        <v>4</v>
      </c>
      <c r="P10" s="16">
        <v>1</v>
      </c>
      <c r="Q10" s="16">
        <v>4</v>
      </c>
      <c r="R10" s="16">
        <v>4</v>
      </c>
      <c r="S10" s="16">
        <v>5</v>
      </c>
      <c r="T10" s="16">
        <v>5</v>
      </c>
      <c r="U10" s="16">
        <v>5</v>
      </c>
      <c r="V10" s="16">
        <v>5</v>
      </c>
      <c r="W10" s="16">
        <v>4</v>
      </c>
      <c r="X10" s="16">
        <v>2</v>
      </c>
      <c r="Y10" s="16">
        <v>4</v>
      </c>
      <c r="Z10" s="16">
        <v>3</v>
      </c>
      <c r="AA10" s="16">
        <v>4</v>
      </c>
      <c r="AB10" s="13">
        <f t="shared" si="1"/>
        <v>62</v>
      </c>
      <c r="AC10" s="14"/>
    </row>
    <row r="11" ht="162" spans="1:29">
      <c r="A11" s="15"/>
      <c r="B11" s="10" t="s">
        <v>251</v>
      </c>
      <c r="C11" s="11" t="s">
        <v>252</v>
      </c>
      <c r="D11" s="16">
        <v>5</v>
      </c>
      <c r="E11" s="16">
        <v>5</v>
      </c>
      <c r="F11" s="16">
        <v>5</v>
      </c>
      <c r="G11" s="16">
        <v>5</v>
      </c>
      <c r="H11" s="16">
        <v>5</v>
      </c>
      <c r="I11" s="16">
        <v>5</v>
      </c>
      <c r="J11" s="16">
        <v>5</v>
      </c>
      <c r="K11" s="13">
        <f t="shared" si="0"/>
        <v>35</v>
      </c>
      <c r="L11" s="16">
        <v>5</v>
      </c>
      <c r="M11" s="16">
        <v>4</v>
      </c>
      <c r="N11" s="16">
        <v>3</v>
      </c>
      <c r="O11" s="16">
        <v>4</v>
      </c>
      <c r="P11" s="16">
        <v>1</v>
      </c>
      <c r="Q11" s="16">
        <v>4</v>
      </c>
      <c r="R11" s="16">
        <v>4</v>
      </c>
      <c r="S11" s="16">
        <v>5</v>
      </c>
      <c r="T11" s="16">
        <v>5</v>
      </c>
      <c r="U11" s="16">
        <v>5</v>
      </c>
      <c r="V11" s="16">
        <v>5</v>
      </c>
      <c r="W11" s="16">
        <v>3</v>
      </c>
      <c r="X11" s="16">
        <v>2</v>
      </c>
      <c r="Y11" s="16">
        <v>4</v>
      </c>
      <c r="Z11" s="16">
        <v>3</v>
      </c>
      <c r="AA11" s="16">
        <v>3</v>
      </c>
      <c r="AB11" s="13">
        <f t="shared" si="1"/>
        <v>60</v>
      </c>
      <c r="AC11" s="14"/>
    </row>
    <row r="12" ht="135" spans="1:29">
      <c r="A12" s="15"/>
      <c r="B12" s="10" t="s">
        <v>253</v>
      </c>
      <c r="C12" s="11" t="s">
        <v>254</v>
      </c>
      <c r="D12" s="16">
        <v>5</v>
      </c>
      <c r="E12" s="16">
        <v>4</v>
      </c>
      <c r="F12" s="16">
        <v>5</v>
      </c>
      <c r="G12" s="16">
        <v>5</v>
      </c>
      <c r="H12" s="16">
        <v>5</v>
      </c>
      <c r="I12" s="16">
        <v>5</v>
      </c>
      <c r="J12" s="16">
        <v>4</v>
      </c>
      <c r="K12" s="13">
        <f t="shared" si="0"/>
        <v>33</v>
      </c>
      <c r="L12" s="16">
        <v>5</v>
      </c>
      <c r="M12" s="16">
        <v>4</v>
      </c>
      <c r="N12" s="16">
        <v>3</v>
      </c>
      <c r="O12" s="16">
        <v>4</v>
      </c>
      <c r="P12" s="16">
        <v>1</v>
      </c>
      <c r="Q12" s="16">
        <v>4</v>
      </c>
      <c r="R12" s="16">
        <v>4</v>
      </c>
      <c r="S12" s="16">
        <v>5</v>
      </c>
      <c r="T12" s="16">
        <v>5</v>
      </c>
      <c r="U12" s="16">
        <v>5</v>
      </c>
      <c r="V12" s="16">
        <v>5</v>
      </c>
      <c r="W12" s="16">
        <v>4</v>
      </c>
      <c r="X12" s="16">
        <v>2</v>
      </c>
      <c r="Y12" s="16">
        <v>4</v>
      </c>
      <c r="Z12" s="16">
        <v>3</v>
      </c>
      <c r="AA12" s="16">
        <v>4</v>
      </c>
      <c r="AB12" s="13">
        <f t="shared" si="1"/>
        <v>62</v>
      </c>
      <c r="AC12" s="14"/>
    </row>
    <row r="13" ht="121.5" spans="1:29">
      <c r="A13" s="15"/>
      <c r="B13" s="10" t="s">
        <v>255</v>
      </c>
      <c r="C13" s="11" t="s">
        <v>256</v>
      </c>
      <c r="D13" s="16">
        <v>5</v>
      </c>
      <c r="E13" s="16">
        <v>5</v>
      </c>
      <c r="F13" s="16">
        <v>5</v>
      </c>
      <c r="G13" s="16">
        <v>5</v>
      </c>
      <c r="H13" s="16">
        <v>5</v>
      </c>
      <c r="I13" s="16">
        <v>5</v>
      </c>
      <c r="J13" s="16">
        <v>5</v>
      </c>
      <c r="K13" s="13">
        <f t="shared" si="0"/>
        <v>35</v>
      </c>
      <c r="L13" s="16">
        <v>4</v>
      </c>
      <c r="M13" s="16">
        <v>4</v>
      </c>
      <c r="N13" s="16">
        <v>3</v>
      </c>
      <c r="O13" s="16">
        <v>5</v>
      </c>
      <c r="P13" s="16">
        <v>2</v>
      </c>
      <c r="Q13" s="16">
        <v>4</v>
      </c>
      <c r="R13" s="16">
        <v>4</v>
      </c>
      <c r="S13" s="16">
        <v>5</v>
      </c>
      <c r="T13" s="16">
        <v>5</v>
      </c>
      <c r="U13" s="16">
        <v>5</v>
      </c>
      <c r="V13" s="16">
        <v>5</v>
      </c>
      <c r="W13" s="16">
        <v>3</v>
      </c>
      <c r="X13" s="16">
        <v>3</v>
      </c>
      <c r="Y13" s="16">
        <v>4</v>
      </c>
      <c r="Z13" s="16">
        <v>3</v>
      </c>
      <c r="AA13" s="16">
        <v>3</v>
      </c>
      <c r="AB13" s="13">
        <f t="shared" si="1"/>
        <v>62</v>
      </c>
      <c r="AC13" s="14"/>
    </row>
    <row r="14" ht="195" customHeight="1" spans="1:29">
      <c r="A14" s="15"/>
      <c r="B14" s="10" t="s">
        <v>257</v>
      </c>
      <c r="C14" s="11" t="s">
        <v>258</v>
      </c>
      <c r="D14" s="16">
        <v>5</v>
      </c>
      <c r="E14" s="16">
        <v>5</v>
      </c>
      <c r="F14" s="16">
        <v>5</v>
      </c>
      <c r="G14" s="16">
        <v>5</v>
      </c>
      <c r="H14" s="16">
        <v>5</v>
      </c>
      <c r="I14" s="16">
        <v>5</v>
      </c>
      <c r="J14" s="16">
        <v>5</v>
      </c>
      <c r="K14" s="13">
        <f t="shared" si="0"/>
        <v>35</v>
      </c>
      <c r="L14" s="16">
        <v>4</v>
      </c>
      <c r="M14" s="16">
        <v>4</v>
      </c>
      <c r="N14" s="16">
        <v>3</v>
      </c>
      <c r="O14" s="16">
        <v>5</v>
      </c>
      <c r="P14" s="16">
        <v>2</v>
      </c>
      <c r="Q14" s="16">
        <v>4</v>
      </c>
      <c r="R14" s="16">
        <v>4</v>
      </c>
      <c r="S14" s="16">
        <v>5</v>
      </c>
      <c r="T14" s="16">
        <v>5</v>
      </c>
      <c r="U14" s="16">
        <v>5</v>
      </c>
      <c r="V14" s="16">
        <v>5</v>
      </c>
      <c r="W14" s="16">
        <v>3</v>
      </c>
      <c r="X14" s="16">
        <v>3</v>
      </c>
      <c r="Y14" s="16">
        <v>4</v>
      </c>
      <c r="Z14" s="16">
        <v>3</v>
      </c>
      <c r="AA14" s="16">
        <v>3</v>
      </c>
      <c r="AB14" s="13">
        <f t="shared" si="1"/>
        <v>62</v>
      </c>
      <c r="AC14" s="14"/>
    </row>
    <row r="15" ht="162" spans="1:29">
      <c r="A15" s="22"/>
      <c r="B15" s="10" t="s">
        <v>259</v>
      </c>
      <c r="C15" s="11" t="s">
        <v>260</v>
      </c>
      <c r="D15" s="16">
        <v>5</v>
      </c>
      <c r="E15" s="16">
        <v>5</v>
      </c>
      <c r="F15" s="16">
        <v>5</v>
      </c>
      <c r="G15" s="16">
        <v>5</v>
      </c>
      <c r="H15" s="16">
        <v>5</v>
      </c>
      <c r="I15" s="16">
        <v>5</v>
      </c>
      <c r="J15" s="16">
        <v>5</v>
      </c>
      <c r="K15" s="13">
        <f t="shared" si="0"/>
        <v>35</v>
      </c>
      <c r="L15" s="16">
        <v>4</v>
      </c>
      <c r="M15" s="16">
        <v>4</v>
      </c>
      <c r="N15" s="16">
        <v>3</v>
      </c>
      <c r="O15" s="16">
        <v>5</v>
      </c>
      <c r="P15" s="16">
        <v>2</v>
      </c>
      <c r="Q15" s="16">
        <v>5</v>
      </c>
      <c r="R15" s="16">
        <v>4</v>
      </c>
      <c r="S15" s="16">
        <v>5</v>
      </c>
      <c r="T15" s="16">
        <v>5</v>
      </c>
      <c r="U15" s="16">
        <v>5</v>
      </c>
      <c r="V15" s="16">
        <v>5</v>
      </c>
      <c r="W15" s="16">
        <v>3</v>
      </c>
      <c r="X15" s="16">
        <v>3</v>
      </c>
      <c r="Y15" s="16">
        <v>4</v>
      </c>
      <c r="Z15" s="16">
        <v>3</v>
      </c>
      <c r="AA15" s="16">
        <v>3</v>
      </c>
      <c r="AB15" s="13">
        <f t="shared" si="1"/>
        <v>63</v>
      </c>
      <c r="AC15" s="14"/>
    </row>
    <row r="16" ht="135" spans="1:29">
      <c r="A16" s="22"/>
      <c r="B16" s="10" t="s">
        <v>261</v>
      </c>
      <c r="C16" s="11" t="s">
        <v>262</v>
      </c>
      <c r="D16" s="16">
        <v>5</v>
      </c>
      <c r="E16" s="16">
        <v>5</v>
      </c>
      <c r="F16" s="16">
        <v>5</v>
      </c>
      <c r="G16" s="16">
        <v>5</v>
      </c>
      <c r="H16" s="16">
        <v>5</v>
      </c>
      <c r="I16" s="16">
        <v>5</v>
      </c>
      <c r="J16" s="16">
        <v>5</v>
      </c>
      <c r="K16" s="13">
        <f t="shared" si="0"/>
        <v>35</v>
      </c>
      <c r="L16" s="16">
        <v>4</v>
      </c>
      <c r="M16" s="16">
        <v>4</v>
      </c>
      <c r="N16" s="16">
        <v>3</v>
      </c>
      <c r="O16" s="16">
        <v>5</v>
      </c>
      <c r="P16" s="16">
        <v>2</v>
      </c>
      <c r="Q16" s="16">
        <v>5</v>
      </c>
      <c r="R16" s="16">
        <v>4</v>
      </c>
      <c r="S16" s="16">
        <v>5</v>
      </c>
      <c r="T16" s="16">
        <v>5</v>
      </c>
      <c r="U16" s="16">
        <v>5</v>
      </c>
      <c r="V16" s="16">
        <v>5</v>
      </c>
      <c r="W16" s="16">
        <v>3</v>
      </c>
      <c r="X16" s="16">
        <v>3</v>
      </c>
      <c r="Y16" s="16">
        <v>4</v>
      </c>
      <c r="Z16" s="16">
        <v>3</v>
      </c>
      <c r="AA16" s="16">
        <v>3</v>
      </c>
      <c r="AB16" s="13">
        <f t="shared" si="1"/>
        <v>63</v>
      </c>
      <c r="AC16" s="14"/>
    </row>
    <row r="17" ht="148.5" spans="1:29">
      <c r="A17" s="15"/>
      <c r="B17" s="10" t="s">
        <v>263</v>
      </c>
      <c r="C17" s="11" t="s">
        <v>264</v>
      </c>
      <c r="D17" s="16">
        <v>5</v>
      </c>
      <c r="E17" s="16">
        <v>5</v>
      </c>
      <c r="F17" s="16">
        <v>5</v>
      </c>
      <c r="G17" s="16">
        <v>5</v>
      </c>
      <c r="H17" s="16">
        <v>5</v>
      </c>
      <c r="I17" s="16">
        <v>5</v>
      </c>
      <c r="J17" s="16">
        <v>5</v>
      </c>
      <c r="K17" s="13">
        <f t="shared" si="0"/>
        <v>35</v>
      </c>
      <c r="L17" s="16">
        <v>5</v>
      </c>
      <c r="M17" s="16">
        <v>5</v>
      </c>
      <c r="N17" s="16">
        <v>3</v>
      </c>
      <c r="O17" s="16">
        <v>5</v>
      </c>
      <c r="P17" s="16">
        <v>3</v>
      </c>
      <c r="Q17" s="16">
        <v>4</v>
      </c>
      <c r="R17" s="16">
        <v>4</v>
      </c>
      <c r="S17" s="16">
        <v>5</v>
      </c>
      <c r="T17" s="16">
        <v>5</v>
      </c>
      <c r="U17" s="16">
        <v>5</v>
      </c>
      <c r="V17" s="16">
        <v>5</v>
      </c>
      <c r="W17" s="16">
        <v>4</v>
      </c>
      <c r="X17" s="16">
        <v>3</v>
      </c>
      <c r="Y17" s="16">
        <v>4</v>
      </c>
      <c r="Z17" s="16">
        <v>3</v>
      </c>
      <c r="AA17" s="16">
        <v>4</v>
      </c>
      <c r="AB17" s="13">
        <f t="shared" si="1"/>
        <v>67</v>
      </c>
      <c r="AC17" s="14"/>
    </row>
    <row r="18" ht="175.5" spans="1:29">
      <c r="A18" s="15"/>
      <c r="B18" s="10" t="s">
        <v>265</v>
      </c>
      <c r="C18" s="11" t="s">
        <v>266</v>
      </c>
      <c r="D18" s="16">
        <v>5</v>
      </c>
      <c r="E18" s="16">
        <v>5</v>
      </c>
      <c r="F18" s="16">
        <v>5</v>
      </c>
      <c r="G18" s="16">
        <v>5</v>
      </c>
      <c r="H18" s="16">
        <v>5</v>
      </c>
      <c r="I18" s="16">
        <v>5</v>
      </c>
      <c r="J18" s="16">
        <v>5</v>
      </c>
      <c r="K18" s="13">
        <f t="shared" si="0"/>
        <v>35</v>
      </c>
      <c r="L18" s="16">
        <v>5</v>
      </c>
      <c r="M18" s="16">
        <v>5</v>
      </c>
      <c r="N18" s="16">
        <v>3</v>
      </c>
      <c r="O18" s="16">
        <v>5</v>
      </c>
      <c r="P18" s="16">
        <v>3</v>
      </c>
      <c r="Q18" s="16">
        <v>4</v>
      </c>
      <c r="R18" s="16">
        <v>4</v>
      </c>
      <c r="S18" s="16">
        <v>5</v>
      </c>
      <c r="T18" s="16">
        <v>5</v>
      </c>
      <c r="U18" s="16">
        <v>5</v>
      </c>
      <c r="V18" s="16">
        <v>5</v>
      </c>
      <c r="W18" s="16">
        <v>4</v>
      </c>
      <c r="X18" s="16">
        <v>3</v>
      </c>
      <c r="Y18" s="16">
        <v>4</v>
      </c>
      <c r="Z18" s="16">
        <v>3</v>
      </c>
      <c r="AA18" s="16">
        <v>4</v>
      </c>
      <c r="AB18" s="13">
        <f t="shared" si="1"/>
        <v>67</v>
      </c>
      <c r="AC18" s="14"/>
    </row>
    <row r="19" ht="108" spans="1:29">
      <c r="A19" s="15"/>
      <c r="B19" s="10" t="s">
        <v>267</v>
      </c>
      <c r="C19" s="11" t="s">
        <v>268</v>
      </c>
      <c r="D19" s="16">
        <v>5</v>
      </c>
      <c r="E19" s="16">
        <v>5</v>
      </c>
      <c r="F19" s="16">
        <v>5</v>
      </c>
      <c r="G19" s="16">
        <v>5</v>
      </c>
      <c r="H19" s="16">
        <v>5</v>
      </c>
      <c r="I19" s="16">
        <v>5</v>
      </c>
      <c r="J19" s="16">
        <v>5</v>
      </c>
      <c r="K19" s="13">
        <f t="shared" si="0"/>
        <v>35</v>
      </c>
      <c r="L19" s="16">
        <v>5</v>
      </c>
      <c r="M19" s="16">
        <v>5</v>
      </c>
      <c r="N19" s="16">
        <v>3</v>
      </c>
      <c r="O19" s="16">
        <v>5</v>
      </c>
      <c r="P19" s="16">
        <v>3</v>
      </c>
      <c r="Q19" s="16">
        <v>4</v>
      </c>
      <c r="R19" s="16">
        <v>4</v>
      </c>
      <c r="S19" s="16">
        <v>5</v>
      </c>
      <c r="T19" s="16">
        <v>5</v>
      </c>
      <c r="U19" s="16">
        <v>5</v>
      </c>
      <c r="V19" s="16">
        <v>5</v>
      </c>
      <c r="W19" s="16">
        <v>4</v>
      </c>
      <c r="X19" s="16">
        <v>3</v>
      </c>
      <c r="Y19" s="16">
        <v>4</v>
      </c>
      <c r="Z19" s="16">
        <v>3</v>
      </c>
      <c r="AA19" s="16">
        <v>4</v>
      </c>
      <c r="AB19" s="13">
        <f t="shared" si="1"/>
        <v>67</v>
      </c>
      <c r="AC19" s="14"/>
    </row>
    <row r="20" customFormat="1" ht="175.5" spans="1:29">
      <c r="A20" s="24"/>
      <c r="B20" s="10" t="s">
        <v>269</v>
      </c>
      <c r="C20" s="11" t="s">
        <v>270</v>
      </c>
      <c r="D20" s="16">
        <v>5</v>
      </c>
      <c r="E20" s="16">
        <v>5</v>
      </c>
      <c r="F20" s="16">
        <v>5</v>
      </c>
      <c r="G20" s="16">
        <v>5</v>
      </c>
      <c r="H20" s="16">
        <v>5</v>
      </c>
      <c r="I20" s="16">
        <v>5</v>
      </c>
      <c r="J20" s="16">
        <v>5</v>
      </c>
      <c r="K20" s="13">
        <f t="shared" si="0"/>
        <v>35</v>
      </c>
      <c r="L20" s="16">
        <v>5</v>
      </c>
      <c r="M20" s="16">
        <v>5</v>
      </c>
      <c r="N20" s="16">
        <v>4</v>
      </c>
      <c r="O20" s="16">
        <v>5</v>
      </c>
      <c r="P20" s="16">
        <v>2</v>
      </c>
      <c r="Q20" s="16">
        <v>4</v>
      </c>
      <c r="R20" s="16">
        <v>4</v>
      </c>
      <c r="S20" s="16">
        <v>1</v>
      </c>
      <c r="T20" s="16">
        <v>5</v>
      </c>
      <c r="U20" s="16">
        <v>5</v>
      </c>
      <c r="V20" s="16">
        <v>5</v>
      </c>
      <c r="W20" s="16">
        <v>4</v>
      </c>
      <c r="X20" s="16">
        <v>2</v>
      </c>
      <c r="Y20" s="16">
        <v>4</v>
      </c>
      <c r="Z20" s="16">
        <v>3</v>
      </c>
      <c r="AA20" s="16">
        <v>3</v>
      </c>
      <c r="AB20" s="13">
        <f t="shared" si="1"/>
        <v>61</v>
      </c>
      <c r="AC20" s="14"/>
    </row>
    <row r="21" ht="162" spans="1:29">
      <c r="A21" s="25"/>
      <c r="B21" s="10" t="s">
        <v>271</v>
      </c>
      <c r="C21" s="11" t="s">
        <v>272</v>
      </c>
      <c r="D21" s="16">
        <v>5</v>
      </c>
      <c r="E21" s="16">
        <v>5</v>
      </c>
      <c r="F21" s="16">
        <v>5</v>
      </c>
      <c r="G21" s="16">
        <v>5</v>
      </c>
      <c r="H21" s="16">
        <v>5</v>
      </c>
      <c r="I21" s="16">
        <v>5</v>
      </c>
      <c r="J21" s="16">
        <v>5</v>
      </c>
      <c r="K21" s="13">
        <f t="shared" si="0"/>
        <v>35</v>
      </c>
      <c r="L21" s="16">
        <v>5</v>
      </c>
      <c r="M21" s="16">
        <v>5</v>
      </c>
      <c r="N21" s="16">
        <v>4</v>
      </c>
      <c r="O21" s="16">
        <v>5</v>
      </c>
      <c r="P21" s="16">
        <v>2</v>
      </c>
      <c r="Q21" s="16">
        <v>4</v>
      </c>
      <c r="R21" s="16">
        <v>4</v>
      </c>
      <c r="S21" s="16">
        <v>1</v>
      </c>
      <c r="T21" s="16">
        <v>5</v>
      </c>
      <c r="U21" s="16">
        <v>5</v>
      </c>
      <c r="V21" s="16">
        <v>5</v>
      </c>
      <c r="W21" s="16">
        <v>4</v>
      </c>
      <c r="X21" s="16">
        <v>2</v>
      </c>
      <c r="Y21" s="16">
        <v>4</v>
      </c>
      <c r="Z21" s="16">
        <v>3</v>
      </c>
      <c r="AA21" s="16">
        <v>3</v>
      </c>
      <c r="AB21" s="13">
        <f t="shared" si="1"/>
        <v>61</v>
      </c>
      <c r="AC21" s="14"/>
    </row>
    <row r="22" customFormat="1" ht="135" spans="1:29">
      <c r="A22" s="24"/>
      <c r="B22" s="10" t="s">
        <v>273</v>
      </c>
      <c r="C22" s="11" t="s">
        <v>274</v>
      </c>
      <c r="D22" s="16">
        <v>5</v>
      </c>
      <c r="E22" s="16">
        <v>5</v>
      </c>
      <c r="F22" s="16">
        <v>5</v>
      </c>
      <c r="G22" s="16">
        <v>5</v>
      </c>
      <c r="H22" s="16">
        <v>5</v>
      </c>
      <c r="I22" s="16">
        <v>5</v>
      </c>
      <c r="J22" s="16">
        <v>5</v>
      </c>
      <c r="K22" s="13">
        <f t="shared" si="0"/>
        <v>35</v>
      </c>
      <c r="L22" s="16">
        <v>5</v>
      </c>
      <c r="M22" s="16">
        <v>5</v>
      </c>
      <c r="N22" s="16">
        <v>4</v>
      </c>
      <c r="O22" s="16">
        <v>5</v>
      </c>
      <c r="P22" s="16">
        <v>2</v>
      </c>
      <c r="Q22" s="16">
        <v>4</v>
      </c>
      <c r="R22" s="16">
        <v>4</v>
      </c>
      <c r="S22" s="16">
        <v>1</v>
      </c>
      <c r="T22" s="16">
        <v>5</v>
      </c>
      <c r="U22" s="16">
        <v>5</v>
      </c>
      <c r="V22" s="16">
        <v>5</v>
      </c>
      <c r="W22" s="16">
        <v>4</v>
      </c>
      <c r="X22" s="16">
        <v>2</v>
      </c>
      <c r="Y22" s="16">
        <v>4</v>
      </c>
      <c r="Z22" s="16">
        <v>3</v>
      </c>
      <c r="AA22" s="16">
        <v>3</v>
      </c>
      <c r="AB22" s="13">
        <f t="shared" si="1"/>
        <v>61</v>
      </c>
      <c r="AC22" s="14"/>
    </row>
    <row r="23" customFormat="1" spans="1:29">
      <c r="A23" s="24"/>
      <c r="B23" s="10"/>
      <c r="C23" s="11"/>
      <c r="D23" s="14">
        <f>AVERAGE(D3:D22)</f>
        <v>5</v>
      </c>
      <c r="E23" s="14">
        <f t="shared" ref="E23:AB23" si="2">AVERAGE(E3:E22)</f>
        <v>4.85</v>
      </c>
      <c r="F23" s="14">
        <f t="shared" si="2"/>
        <v>5</v>
      </c>
      <c r="G23" s="14">
        <f t="shared" si="2"/>
        <v>5</v>
      </c>
      <c r="H23" s="14">
        <f t="shared" si="2"/>
        <v>5</v>
      </c>
      <c r="I23" s="14">
        <f t="shared" si="2"/>
        <v>5</v>
      </c>
      <c r="J23" s="14">
        <f t="shared" si="2"/>
        <v>4.85</v>
      </c>
      <c r="K23" s="14">
        <f t="shared" si="2"/>
        <v>34.7</v>
      </c>
      <c r="L23" s="14">
        <f t="shared" si="2"/>
        <v>4.8</v>
      </c>
      <c r="M23" s="14">
        <f t="shared" si="2"/>
        <v>4.5</v>
      </c>
      <c r="N23" s="14">
        <f t="shared" si="2"/>
        <v>3.15</v>
      </c>
      <c r="O23" s="14">
        <f t="shared" si="2"/>
        <v>4.55</v>
      </c>
      <c r="P23" s="14">
        <f t="shared" si="2"/>
        <v>1.65</v>
      </c>
      <c r="Q23" s="14">
        <f t="shared" si="2"/>
        <v>4.1</v>
      </c>
      <c r="R23" s="14">
        <f t="shared" si="2"/>
        <v>4</v>
      </c>
      <c r="S23" s="14">
        <f t="shared" si="2"/>
        <v>4.1</v>
      </c>
      <c r="T23" s="14">
        <f t="shared" si="2"/>
        <v>5</v>
      </c>
      <c r="U23" s="14">
        <f t="shared" si="2"/>
        <v>5</v>
      </c>
      <c r="V23" s="14">
        <f t="shared" si="2"/>
        <v>5</v>
      </c>
      <c r="W23" s="14">
        <f t="shared" si="2"/>
        <v>3.6</v>
      </c>
      <c r="X23" s="14">
        <f t="shared" si="2"/>
        <v>2.15</v>
      </c>
      <c r="Y23" s="14">
        <f t="shared" si="2"/>
        <v>3.6</v>
      </c>
      <c r="Z23" s="14">
        <f t="shared" si="2"/>
        <v>3</v>
      </c>
      <c r="AA23" s="14">
        <f t="shared" si="2"/>
        <v>3.4</v>
      </c>
      <c r="AB23" s="14">
        <f t="shared" si="2"/>
        <v>61.6</v>
      </c>
      <c r="AC23" s="14"/>
    </row>
    <row r="24" customFormat="1" spans="1:29">
      <c r="A24" s="24"/>
      <c r="B24" s="10"/>
      <c r="C24" s="11"/>
      <c r="D24" s="14"/>
      <c r="E24" s="14"/>
      <c r="F24" s="14"/>
      <c r="G24" s="14"/>
      <c r="H24" s="14"/>
      <c r="I24" s="14"/>
      <c r="J24" s="14"/>
      <c r="K24" s="13"/>
      <c r="L24" s="14"/>
      <c r="M24" s="14"/>
      <c r="N24" s="14"/>
      <c r="O24" s="14"/>
      <c r="P24" s="14"/>
      <c r="Q24" s="14"/>
      <c r="R24" s="14"/>
      <c r="S24" s="14"/>
      <c r="T24" s="14"/>
      <c r="U24" s="14"/>
      <c r="V24" s="14"/>
      <c r="W24" s="14"/>
      <c r="X24" s="14"/>
      <c r="Y24" s="14"/>
      <c r="Z24" s="14"/>
      <c r="AA24" s="14"/>
      <c r="AB24" s="13"/>
      <c r="AC24" s="14"/>
    </row>
    <row r="25" customFormat="1" spans="1:29">
      <c r="A25" s="24"/>
      <c r="B25" s="10"/>
      <c r="C25" s="11"/>
      <c r="D25" s="14"/>
      <c r="E25" s="14"/>
      <c r="F25" s="14"/>
      <c r="G25" s="14"/>
      <c r="H25" s="14"/>
      <c r="I25" s="14"/>
      <c r="J25" s="14"/>
      <c r="K25" s="13"/>
      <c r="L25" s="14"/>
      <c r="M25" s="14"/>
      <c r="N25" s="14"/>
      <c r="O25" s="14"/>
      <c r="P25" s="14"/>
      <c r="Q25" s="14"/>
      <c r="R25" s="14"/>
      <c r="S25" s="14"/>
      <c r="T25" s="14"/>
      <c r="U25" s="14"/>
      <c r="V25" s="14"/>
      <c r="W25" s="14"/>
      <c r="X25" s="14"/>
      <c r="Y25" s="14"/>
      <c r="Z25" s="14"/>
      <c r="AA25" s="14"/>
      <c r="AB25" s="13"/>
      <c r="AC25" s="14"/>
    </row>
    <row r="26" customFormat="1" spans="1:29">
      <c r="A26" s="24"/>
      <c r="B26" s="10"/>
      <c r="C26" s="11"/>
      <c r="D26" s="14"/>
      <c r="E26" s="14"/>
      <c r="F26" s="14"/>
      <c r="G26" s="14"/>
      <c r="H26" s="14"/>
      <c r="I26" s="14"/>
      <c r="J26" s="14"/>
      <c r="K26" s="13"/>
      <c r="L26" s="14"/>
      <c r="M26" s="14"/>
      <c r="N26" s="14"/>
      <c r="O26" s="14"/>
      <c r="P26" s="14"/>
      <c r="Q26" s="14"/>
      <c r="R26" s="14"/>
      <c r="S26" s="14"/>
      <c r="T26" s="14"/>
      <c r="U26" s="14"/>
      <c r="V26" s="14"/>
      <c r="W26" s="14"/>
      <c r="X26" s="14"/>
      <c r="Y26" s="14"/>
      <c r="Z26" s="14"/>
      <c r="AA26" s="14"/>
      <c r="AB26" s="13"/>
      <c r="AC26" s="14"/>
    </row>
    <row r="27" customFormat="1" spans="1:29">
      <c r="A27" s="24"/>
      <c r="B27" s="10"/>
      <c r="C27" s="11"/>
      <c r="D27" s="14"/>
      <c r="E27" s="14"/>
      <c r="F27" s="14"/>
      <c r="G27" s="14"/>
      <c r="H27" s="14"/>
      <c r="I27" s="14"/>
      <c r="J27" s="14"/>
      <c r="K27" s="13"/>
      <c r="L27" s="14"/>
      <c r="M27" s="14"/>
      <c r="N27" s="14"/>
      <c r="O27" s="14"/>
      <c r="P27" s="14"/>
      <c r="Q27" s="14"/>
      <c r="R27" s="14"/>
      <c r="S27" s="14"/>
      <c r="T27" s="14"/>
      <c r="U27" s="14"/>
      <c r="V27" s="14"/>
      <c r="W27" s="14"/>
      <c r="X27" s="14"/>
      <c r="Y27" s="14"/>
      <c r="Z27" s="14"/>
      <c r="AA27" s="14"/>
      <c r="AB27" s="13"/>
      <c r="AC27" s="14"/>
    </row>
    <row r="28" customFormat="1" spans="1:29">
      <c r="A28" s="24"/>
      <c r="B28" s="10"/>
      <c r="C28" s="11"/>
      <c r="D28" s="14"/>
      <c r="E28" s="14"/>
      <c r="F28" s="14"/>
      <c r="G28" s="14"/>
      <c r="H28" s="14"/>
      <c r="I28" s="14"/>
      <c r="J28" s="14"/>
      <c r="K28" s="13"/>
      <c r="L28" s="14"/>
      <c r="M28" s="14"/>
      <c r="N28" s="14"/>
      <c r="O28" s="14"/>
      <c r="P28" s="14"/>
      <c r="Q28" s="14"/>
      <c r="R28" s="14"/>
      <c r="S28" s="14"/>
      <c r="T28" s="14"/>
      <c r="U28" s="14"/>
      <c r="V28" s="14"/>
      <c r="W28" s="14"/>
      <c r="X28" s="14"/>
      <c r="Y28" s="14"/>
      <c r="Z28" s="14"/>
      <c r="AA28" s="14"/>
      <c r="AB28" s="13"/>
      <c r="AC28" s="14"/>
    </row>
    <row r="29" customFormat="1" spans="1:29">
      <c r="A29" s="24"/>
      <c r="B29" s="10"/>
      <c r="C29" s="11"/>
      <c r="D29" s="14"/>
      <c r="E29" s="14"/>
      <c r="F29" s="14"/>
      <c r="G29" s="14"/>
      <c r="H29" s="14"/>
      <c r="I29" s="14"/>
      <c r="J29" s="14"/>
      <c r="K29" s="13"/>
      <c r="L29" s="14"/>
      <c r="M29" s="14"/>
      <c r="N29" s="14"/>
      <c r="O29" s="14"/>
      <c r="P29" s="14"/>
      <c r="Q29" s="14"/>
      <c r="R29" s="14"/>
      <c r="S29" s="14"/>
      <c r="T29" s="14"/>
      <c r="U29" s="14"/>
      <c r="V29" s="14"/>
      <c r="W29" s="14"/>
      <c r="X29" s="14"/>
      <c r="Y29" s="14"/>
      <c r="Z29" s="14"/>
      <c r="AA29" s="14"/>
      <c r="AB29" s="13"/>
      <c r="AC29" s="14"/>
    </row>
    <row r="30" customFormat="1" spans="1:29">
      <c r="A30" s="24"/>
      <c r="B30" s="10"/>
      <c r="C30" s="11"/>
      <c r="D30" s="14"/>
      <c r="E30" s="14"/>
      <c r="F30" s="14"/>
      <c r="G30" s="14"/>
      <c r="H30" s="14"/>
      <c r="I30" s="14"/>
      <c r="J30" s="14"/>
      <c r="K30" s="13"/>
      <c r="L30" s="14"/>
      <c r="M30" s="14"/>
      <c r="N30" s="14"/>
      <c r="O30" s="14"/>
      <c r="P30" s="14"/>
      <c r="Q30" s="14"/>
      <c r="R30" s="14"/>
      <c r="S30" s="14"/>
      <c r="T30" s="14"/>
      <c r="U30" s="14"/>
      <c r="V30" s="14"/>
      <c r="W30" s="14"/>
      <c r="X30" s="14"/>
      <c r="Y30" s="14"/>
      <c r="Z30" s="14"/>
      <c r="AA30" s="14"/>
      <c r="AB30" s="13"/>
      <c r="AC30" s="14"/>
    </row>
    <row r="31" customFormat="1" spans="1:29">
      <c r="A31" s="24"/>
      <c r="B31" s="10"/>
      <c r="C31" s="11"/>
      <c r="D31" s="14"/>
      <c r="E31" s="14"/>
      <c r="F31" s="14"/>
      <c r="G31" s="14"/>
      <c r="H31" s="14"/>
      <c r="I31" s="14"/>
      <c r="J31" s="14"/>
      <c r="K31" s="13"/>
      <c r="L31" s="14"/>
      <c r="M31" s="14"/>
      <c r="N31" s="14"/>
      <c r="O31" s="14"/>
      <c r="P31" s="14"/>
      <c r="Q31" s="14"/>
      <c r="R31" s="14"/>
      <c r="S31" s="14"/>
      <c r="T31" s="14"/>
      <c r="U31" s="14"/>
      <c r="V31" s="14"/>
      <c r="W31" s="14"/>
      <c r="X31" s="14"/>
      <c r="Y31" s="14"/>
      <c r="Z31" s="14"/>
      <c r="AA31" s="14"/>
      <c r="AB31" s="13"/>
      <c r="AC31" s="14"/>
    </row>
    <row r="32" customFormat="1" spans="1:29">
      <c r="A32" s="24"/>
      <c r="B32" s="10"/>
      <c r="C32" s="11"/>
      <c r="D32" s="14"/>
      <c r="E32" s="14"/>
      <c r="F32" s="14"/>
      <c r="G32" s="14"/>
      <c r="H32" s="14"/>
      <c r="I32" s="14"/>
      <c r="J32" s="14"/>
      <c r="K32" s="13"/>
      <c r="L32" s="14"/>
      <c r="M32" s="14"/>
      <c r="N32" s="14"/>
      <c r="O32" s="14"/>
      <c r="P32" s="14"/>
      <c r="Q32" s="14"/>
      <c r="R32" s="14"/>
      <c r="S32" s="14"/>
      <c r="T32" s="14"/>
      <c r="U32" s="14"/>
      <c r="V32" s="14"/>
      <c r="W32" s="14"/>
      <c r="X32" s="14"/>
      <c r="Y32" s="14"/>
      <c r="Z32" s="14"/>
      <c r="AA32" s="14"/>
      <c r="AB32" s="13"/>
      <c r="AC32" s="14"/>
    </row>
    <row r="33" customFormat="1" spans="1:29">
      <c r="A33" s="24"/>
      <c r="B33" s="10"/>
      <c r="C33" s="11"/>
      <c r="D33" s="14"/>
      <c r="E33" s="14"/>
      <c r="F33" s="14"/>
      <c r="G33" s="14"/>
      <c r="H33" s="14"/>
      <c r="I33" s="14"/>
      <c r="J33" s="14"/>
      <c r="K33" s="13"/>
      <c r="L33" s="14"/>
      <c r="M33" s="14"/>
      <c r="N33" s="14"/>
      <c r="O33" s="14"/>
      <c r="P33" s="14"/>
      <c r="Q33" s="14"/>
      <c r="R33" s="14"/>
      <c r="S33" s="14"/>
      <c r="T33" s="14"/>
      <c r="U33" s="14"/>
      <c r="V33" s="14"/>
      <c r="W33" s="14"/>
      <c r="X33" s="14"/>
      <c r="Y33" s="14"/>
      <c r="Z33" s="14"/>
      <c r="AA33" s="14"/>
      <c r="AB33" s="13"/>
      <c r="AC33" s="14"/>
    </row>
    <row r="34" customFormat="1" spans="1:29">
      <c r="A34" s="24"/>
      <c r="B34" s="10"/>
      <c r="C34" s="11"/>
      <c r="D34" s="14"/>
      <c r="E34" s="14"/>
      <c r="F34" s="14"/>
      <c r="G34" s="14"/>
      <c r="H34" s="14"/>
      <c r="I34" s="14"/>
      <c r="J34" s="14"/>
      <c r="K34" s="13"/>
      <c r="L34" s="14"/>
      <c r="M34" s="14"/>
      <c r="N34" s="14"/>
      <c r="O34" s="14"/>
      <c r="P34" s="14"/>
      <c r="Q34" s="14"/>
      <c r="R34" s="14"/>
      <c r="S34" s="14"/>
      <c r="T34" s="14"/>
      <c r="U34" s="14"/>
      <c r="V34" s="14"/>
      <c r="W34" s="14"/>
      <c r="X34" s="14"/>
      <c r="Y34" s="14"/>
      <c r="Z34" s="14"/>
      <c r="AA34" s="14"/>
      <c r="AB34" s="13"/>
      <c r="AC34" s="14"/>
    </row>
    <row r="35" customFormat="1" spans="1:29">
      <c r="A35" s="24"/>
      <c r="B35" s="10"/>
      <c r="C35" s="11"/>
      <c r="D35" s="14"/>
      <c r="E35" s="14"/>
      <c r="F35" s="14"/>
      <c r="G35" s="14"/>
      <c r="H35" s="14"/>
      <c r="I35" s="14"/>
      <c r="J35" s="14"/>
      <c r="K35" s="13"/>
      <c r="L35" s="14"/>
      <c r="M35" s="14"/>
      <c r="N35" s="14"/>
      <c r="O35" s="14"/>
      <c r="P35" s="14"/>
      <c r="Q35" s="14"/>
      <c r="R35" s="14"/>
      <c r="S35" s="14"/>
      <c r="T35" s="14"/>
      <c r="U35" s="14"/>
      <c r="V35" s="14"/>
      <c r="W35" s="14"/>
      <c r="X35" s="14"/>
      <c r="Y35" s="14"/>
      <c r="Z35" s="14"/>
      <c r="AA35" s="14"/>
      <c r="AB35" s="13"/>
      <c r="AC35" s="14"/>
    </row>
    <row r="36" customFormat="1" spans="1:29">
      <c r="A36" s="24"/>
      <c r="B36" s="10"/>
      <c r="C36" s="11"/>
      <c r="D36" s="14"/>
      <c r="E36" s="14"/>
      <c r="F36" s="14"/>
      <c r="G36" s="14"/>
      <c r="H36" s="14"/>
      <c r="I36" s="14"/>
      <c r="J36" s="14"/>
      <c r="K36" s="13"/>
      <c r="L36" s="14"/>
      <c r="M36" s="14"/>
      <c r="N36" s="14"/>
      <c r="O36" s="14"/>
      <c r="P36" s="14"/>
      <c r="Q36" s="14"/>
      <c r="R36" s="14"/>
      <c r="S36" s="14"/>
      <c r="T36" s="14"/>
      <c r="U36" s="14"/>
      <c r="V36" s="14"/>
      <c r="W36" s="14"/>
      <c r="X36" s="14"/>
      <c r="Y36" s="14"/>
      <c r="Z36" s="14"/>
      <c r="AA36" s="14"/>
      <c r="AB36" s="13"/>
      <c r="AC36" s="14"/>
    </row>
    <row r="37" customFormat="1" spans="1:29">
      <c r="A37" s="24"/>
      <c r="B37" s="10"/>
      <c r="C37" s="11"/>
      <c r="D37" s="14"/>
      <c r="E37" s="14"/>
      <c r="F37" s="14"/>
      <c r="G37" s="14"/>
      <c r="H37" s="14"/>
      <c r="I37" s="14"/>
      <c r="J37" s="14"/>
      <c r="K37" s="13"/>
      <c r="L37" s="14"/>
      <c r="M37" s="14"/>
      <c r="N37" s="14"/>
      <c r="O37" s="14"/>
      <c r="P37" s="14"/>
      <c r="Q37" s="14"/>
      <c r="R37" s="14"/>
      <c r="S37" s="14"/>
      <c r="T37" s="14"/>
      <c r="U37" s="14"/>
      <c r="V37" s="14"/>
      <c r="W37" s="14"/>
      <c r="X37" s="14"/>
      <c r="Y37" s="14"/>
      <c r="Z37" s="14"/>
      <c r="AA37" s="14"/>
      <c r="AB37" s="13"/>
      <c r="AC37" s="14"/>
    </row>
    <row r="38" customFormat="1" spans="1:29">
      <c r="A38" s="24"/>
      <c r="B38" s="10"/>
      <c r="C38" s="11"/>
      <c r="D38" s="14"/>
      <c r="E38" s="14"/>
      <c r="F38" s="14"/>
      <c r="G38" s="14"/>
      <c r="H38" s="14"/>
      <c r="I38" s="14"/>
      <c r="J38" s="14"/>
      <c r="K38" s="13"/>
      <c r="L38" s="14"/>
      <c r="M38" s="14"/>
      <c r="N38" s="14"/>
      <c r="O38" s="14"/>
      <c r="P38" s="14"/>
      <c r="Q38" s="14"/>
      <c r="R38" s="14"/>
      <c r="S38" s="14"/>
      <c r="T38" s="14"/>
      <c r="U38" s="14"/>
      <c r="V38" s="14"/>
      <c r="W38" s="14"/>
      <c r="X38" s="14"/>
      <c r="Y38" s="14"/>
      <c r="Z38" s="14"/>
      <c r="AA38" s="14"/>
      <c r="AB38" s="13"/>
      <c r="AC38" s="14"/>
    </row>
    <row r="39" customFormat="1" spans="1:29">
      <c r="A39" s="24"/>
      <c r="B39" s="10"/>
      <c r="C39" s="11"/>
      <c r="D39" s="14"/>
      <c r="E39" s="14"/>
      <c r="F39" s="14"/>
      <c r="G39" s="14"/>
      <c r="H39" s="14"/>
      <c r="I39" s="14"/>
      <c r="J39" s="14"/>
      <c r="K39" s="13"/>
      <c r="L39" s="14"/>
      <c r="M39" s="14"/>
      <c r="N39" s="14"/>
      <c r="O39" s="14"/>
      <c r="P39" s="14"/>
      <c r="Q39" s="14"/>
      <c r="R39" s="14"/>
      <c r="S39" s="14"/>
      <c r="T39" s="14"/>
      <c r="U39" s="14"/>
      <c r="V39" s="14"/>
      <c r="W39" s="14"/>
      <c r="X39" s="14"/>
      <c r="Y39" s="14"/>
      <c r="Z39" s="14"/>
      <c r="AA39" s="14"/>
      <c r="AB39" s="13"/>
      <c r="AC39" s="14"/>
    </row>
    <row r="40" customFormat="1" spans="1:29">
      <c r="A40" s="24"/>
      <c r="B40" s="10"/>
      <c r="C40" s="11"/>
      <c r="D40" s="14"/>
      <c r="E40" s="14"/>
      <c r="F40" s="14"/>
      <c r="G40" s="14"/>
      <c r="H40" s="14"/>
      <c r="I40" s="14"/>
      <c r="J40" s="14"/>
      <c r="K40" s="13"/>
      <c r="L40" s="14"/>
      <c r="M40" s="14"/>
      <c r="N40" s="14"/>
      <c r="O40" s="14"/>
      <c r="P40" s="14"/>
      <c r="Q40" s="14"/>
      <c r="R40" s="14"/>
      <c r="S40" s="14"/>
      <c r="T40" s="14"/>
      <c r="U40" s="14"/>
      <c r="V40" s="14"/>
      <c r="W40" s="14"/>
      <c r="X40" s="14"/>
      <c r="Y40" s="14"/>
      <c r="Z40" s="14"/>
      <c r="AA40" s="14"/>
      <c r="AB40" s="13"/>
      <c r="AC40" s="14"/>
    </row>
    <row r="41" customFormat="1" spans="1:29">
      <c r="A41" s="24"/>
      <c r="B41" s="10"/>
      <c r="C41" s="11"/>
      <c r="D41" s="14"/>
      <c r="E41" s="14"/>
      <c r="F41" s="14"/>
      <c r="G41" s="14"/>
      <c r="H41" s="14"/>
      <c r="I41" s="14"/>
      <c r="J41" s="14"/>
      <c r="K41" s="13"/>
      <c r="L41" s="14"/>
      <c r="M41" s="14"/>
      <c r="N41" s="14"/>
      <c r="O41" s="14"/>
      <c r="P41" s="14"/>
      <c r="Q41" s="14"/>
      <c r="R41" s="14"/>
      <c r="S41" s="14"/>
      <c r="T41" s="14"/>
      <c r="U41" s="14"/>
      <c r="V41" s="14"/>
      <c r="W41" s="14"/>
      <c r="X41" s="14"/>
      <c r="Y41" s="14"/>
      <c r="Z41" s="14"/>
      <c r="AA41" s="14"/>
      <c r="AB41" s="13"/>
      <c r="AC41" s="14"/>
    </row>
    <row r="42" customFormat="1" spans="1:29">
      <c r="A42" s="24"/>
      <c r="B42" s="10"/>
      <c r="C42" s="11"/>
      <c r="D42" s="14"/>
      <c r="E42" s="14"/>
      <c r="F42" s="14"/>
      <c r="G42" s="14"/>
      <c r="H42" s="14"/>
      <c r="I42" s="14"/>
      <c r="J42" s="14"/>
      <c r="K42" s="13"/>
      <c r="L42" s="14"/>
      <c r="M42" s="14"/>
      <c r="N42" s="14"/>
      <c r="O42" s="14"/>
      <c r="P42" s="14"/>
      <c r="Q42" s="14"/>
      <c r="R42" s="14"/>
      <c r="S42" s="14"/>
      <c r="T42" s="14"/>
      <c r="U42" s="14"/>
      <c r="V42" s="14"/>
      <c r="W42" s="14"/>
      <c r="X42" s="14"/>
      <c r="Y42" s="14"/>
      <c r="Z42" s="14"/>
      <c r="AA42" s="14"/>
      <c r="AB42" s="13"/>
      <c r="AC42" s="14"/>
    </row>
    <row r="43" customFormat="1" spans="1:29">
      <c r="A43" s="24"/>
      <c r="B43" s="10"/>
      <c r="C43" s="11"/>
      <c r="D43" s="14"/>
      <c r="E43" s="14"/>
      <c r="F43" s="14"/>
      <c r="G43" s="14"/>
      <c r="H43" s="14"/>
      <c r="I43" s="14"/>
      <c r="J43" s="14"/>
      <c r="K43" s="13"/>
      <c r="L43" s="14"/>
      <c r="M43" s="14"/>
      <c r="N43" s="14"/>
      <c r="O43" s="14"/>
      <c r="P43" s="14"/>
      <c r="Q43" s="14"/>
      <c r="R43" s="14"/>
      <c r="S43" s="14"/>
      <c r="T43" s="14"/>
      <c r="U43" s="14"/>
      <c r="V43" s="14"/>
      <c r="W43" s="14"/>
      <c r="X43" s="14"/>
      <c r="Y43" s="14"/>
      <c r="Z43" s="14"/>
      <c r="AA43" s="14"/>
      <c r="AB43" s="13"/>
      <c r="AC43" s="14"/>
    </row>
    <row r="44" customFormat="1" spans="1:29">
      <c r="A44" s="24"/>
      <c r="B44" s="10"/>
      <c r="C44" s="11"/>
      <c r="D44" s="14"/>
      <c r="E44" s="14"/>
      <c r="F44" s="14"/>
      <c r="G44" s="14"/>
      <c r="H44" s="14"/>
      <c r="I44" s="14"/>
      <c r="J44" s="14"/>
      <c r="K44" s="13"/>
      <c r="L44" s="14"/>
      <c r="M44" s="14"/>
      <c r="N44" s="14"/>
      <c r="O44" s="14"/>
      <c r="P44" s="14"/>
      <c r="Q44" s="14"/>
      <c r="R44" s="14"/>
      <c r="S44" s="14"/>
      <c r="T44" s="14"/>
      <c r="U44" s="14"/>
      <c r="V44" s="14"/>
      <c r="W44" s="14"/>
      <c r="X44" s="14"/>
      <c r="Y44" s="14"/>
      <c r="Z44" s="14"/>
      <c r="AA44" s="14"/>
      <c r="AB44" s="13"/>
      <c r="AC44" s="14"/>
    </row>
    <row r="45" customFormat="1" spans="1:29">
      <c r="A45" s="24"/>
      <c r="B45" s="10"/>
      <c r="C45" s="11"/>
      <c r="D45" s="14"/>
      <c r="E45" s="14"/>
      <c r="F45" s="14"/>
      <c r="G45" s="14"/>
      <c r="H45" s="14"/>
      <c r="I45" s="14"/>
      <c r="J45" s="14"/>
      <c r="K45" s="13"/>
      <c r="L45" s="14"/>
      <c r="M45" s="14"/>
      <c r="N45" s="14"/>
      <c r="O45" s="14"/>
      <c r="P45" s="14"/>
      <c r="Q45" s="14"/>
      <c r="R45" s="14"/>
      <c r="S45" s="14"/>
      <c r="T45" s="14"/>
      <c r="U45" s="14"/>
      <c r="V45" s="14"/>
      <c r="W45" s="14"/>
      <c r="X45" s="14"/>
      <c r="Y45" s="14"/>
      <c r="Z45" s="14"/>
      <c r="AA45" s="14"/>
      <c r="AB45" s="13"/>
      <c r="AC45" s="14"/>
    </row>
    <row r="46" customFormat="1" spans="1:29">
      <c r="A46" s="24"/>
      <c r="B46" s="10"/>
      <c r="C46" s="11"/>
      <c r="D46" s="14"/>
      <c r="E46" s="14"/>
      <c r="F46" s="14"/>
      <c r="G46" s="14"/>
      <c r="H46" s="14"/>
      <c r="I46" s="14"/>
      <c r="J46" s="14"/>
      <c r="K46" s="13"/>
      <c r="L46" s="14"/>
      <c r="M46" s="14"/>
      <c r="N46" s="14"/>
      <c r="O46" s="14"/>
      <c r="P46" s="14"/>
      <c r="Q46" s="14"/>
      <c r="R46" s="14"/>
      <c r="S46" s="14"/>
      <c r="T46" s="14"/>
      <c r="U46" s="14"/>
      <c r="V46" s="14"/>
      <c r="W46" s="14"/>
      <c r="X46" s="14"/>
      <c r="Y46" s="14"/>
      <c r="Z46" s="14"/>
      <c r="AA46" s="14"/>
      <c r="AB46" s="13"/>
      <c r="AC46" s="14"/>
    </row>
    <row r="47" customFormat="1" spans="1:29">
      <c r="A47" s="24"/>
      <c r="B47" s="10"/>
      <c r="C47" s="11"/>
      <c r="D47" s="14"/>
      <c r="E47" s="14"/>
      <c r="F47" s="14"/>
      <c r="G47" s="14"/>
      <c r="H47" s="14"/>
      <c r="I47" s="14"/>
      <c r="J47" s="14"/>
      <c r="K47" s="13"/>
      <c r="L47" s="14"/>
      <c r="M47" s="14"/>
      <c r="N47" s="14"/>
      <c r="O47" s="14"/>
      <c r="P47" s="14"/>
      <c r="Q47" s="14"/>
      <c r="R47" s="14"/>
      <c r="S47" s="14"/>
      <c r="T47" s="14"/>
      <c r="U47" s="14"/>
      <c r="V47" s="14"/>
      <c r="W47" s="14"/>
      <c r="X47" s="14"/>
      <c r="Y47" s="14"/>
      <c r="Z47" s="14"/>
      <c r="AA47" s="14"/>
      <c r="AB47" s="13"/>
      <c r="AC47" s="14"/>
    </row>
    <row r="48" customFormat="1" spans="1:29">
      <c r="A48" s="24"/>
      <c r="B48" s="10"/>
      <c r="C48" s="11"/>
      <c r="D48" s="14"/>
      <c r="E48" s="14"/>
      <c r="F48" s="14"/>
      <c r="G48" s="14"/>
      <c r="H48" s="14"/>
      <c r="I48" s="14"/>
      <c r="J48" s="14"/>
      <c r="K48" s="13"/>
      <c r="L48" s="14"/>
      <c r="M48" s="14"/>
      <c r="N48" s="14"/>
      <c r="O48" s="14"/>
      <c r="P48" s="14"/>
      <c r="Q48" s="14"/>
      <c r="R48" s="14"/>
      <c r="S48" s="14"/>
      <c r="T48" s="14"/>
      <c r="U48" s="14"/>
      <c r="V48" s="14"/>
      <c r="W48" s="14"/>
      <c r="X48" s="14"/>
      <c r="Y48" s="14"/>
      <c r="Z48" s="14"/>
      <c r="AA48" s="14"/>
      <c r="AB48" s="13"/>
      <c r="AC48" s="14"/>
    </row>
    <row r="49" customFormat="1" spans="1:29">
      <c r="A49" s="24"/>
      <c r="B49" s="10"/>
      <c r="C49" s="11"/>
      <c r="D49" s="14"/>
      <c r="E49" s="14"/>
      <c r="F49" s="14"/>
      <c r="G49" s="14"/>
      <c r="H49" s="14"/>
      <c r="I49" s="14"/>
      <c r="J49" s="14"/>
      <c r="K49" s="13"/>
      <c r="L49" s="14"/>
      <c r="M49" s="14"/>
      <c r="N49" s="14"/>
      <c r="O49" s="14"/>
      <c r="P49" s="14"/>
      <c r="Q49" s="14"/>
      <c r="R49" s="14"/>
      <c r="S49" s="14"/>
      <c r="T49" s="14"/>
      <c r="U49" s="14"/>
      <c r="V49" s="14"/>
      <c r="W49" s="14"/>
      <c r="X49" s="14"/>
      <c r="Y49" s="14"/>
      <c r="Z49" s="14"/>
      <c r="AA49" s="14"/>
      <c r="AB49" s="13"/>
      <c r="AC49" s="14"/>
    </row>
    <row r="50" customFormat="1" spans="1:29">
      <c r="A50" s="24"/>
      <c r="B50" s="10"/>
      <c r="C50" s="11"/>
      <c r="D50" s="14"/>
      <c r="E50" s="14"/>
      <c r="F50" s="14"/>
      <c r="G50" s="14"/>
      <c r="H50" s="14"/>
      <c r="I50" s="14"/>
      <c r="J50" s="14"/>
      <c r="K50" s="13"/>
      <c r="L50" s="14"/>
      <c r="M50" s="14"/>
      <c r="N50" s="14"/>
      <c r="O50" s="14"/>
      <c r="P50" s="14"/>
      <c r="Q50" s="14"/>
      <c r="R50" s="14"/>
      <c r="S50" s="14"/>
      <c r="T50" s="14"/>
      <c r="U50" s="14"/>
      <c r="V50" s="14"/>
      <c r="W50" s="14"/>
      <c r="X50" s="14"/>
      <c r="Y50" s="14"/>
      <c r="Z50" s="14"/>
      <c r="AA50" s="14"/>
      <c r="AB50" s="13"/>
      <c r="AC50" s="14"/>
    </row>
    <row r="51" customFormat="1" spans="1:29">
      <c r="A51" s="24"/>
      <c r="B51" s="10"/>
      <c r="C51" s="11"/>
      <c r="D51" s="14"/>
      <c r="E51" s="14"/>
      <c r="F51" s="14"/>
      <c r="G51" s="14"/>
      <c r="H51" s="14"/>
      <c r="I51" s="14"/>
      <c r="J51" s="14"/>
      <c r="K51" s="13"/>
      <c r="L51" s="14"/>
      <c r="M51" s="14"/>
      <c r="N51" s="14"/>
      <c r="O51" s="14"/>
      <c r="P51" s="14"/>
      <c r="Q51" s="14"/>
      <c r="R51" s="14"/>
      <c r="S51" s="14"/>
      <c r="T51" s="14"/>
      <c r="U51" s="14"/>
      <c r="V51" s="14"/>
      <c r="W51" s="14"/>
      <c r="X51" s="14"/>
      <c r="Y51" s="14"/>
      <c r="Z51" s="14"/>
      <c r="AA51" s="14"/>
      <c r="AB51" s="13"/>
      <c r="AC51" s="14"/>
    </row>
    <row r="52" customFormat="1" spans="1:29">
      <c r="A52" s="24"/>
      <c r="B52" s="10"/>
      <c r="C52" s="11"/>
      <c r="D52" s="14"/>
      <c r="E52" s="14"/>
      <c r="F52" s="14"/>
      <c r="G52" s="14"/>
      <c r="H52" s="14"/>
      <c r="I52" s="14"/>
      <c r="J52" s="14"/>
      <c r="K52" s="13"/>
      <c r="L52" s="14"/>
      <c r="M52" s="14"/>
      <c r="N52" s="14"/>
      <c r="O52" s="14"/>
      <c r="P52" s="14"/>
      <c r="Q52" s="14"/>
      <c r="R52" s="14"/>
      <c r="S52" s="14"/>
      <c r="T52" s="14"/>
      <c r="U52" s="14"/>
      <c r="V52" s="14"/>
      <c r="W52" s="14"/>
      <c r="X52" s="14"/>
      <c r="Y52" s="14"/>
      <c r="Z52" s="14"/>
      <c r="AA52" s="14"/>
      <c r="AB52" s="13"/>
      <c r="AC52" s="14"/>
    </row>
    <row r="53" customFormat="1" spans="1:29">
      <c r="A53" s="24"/>
      <c r="B53" s="10"/>
      <c r="C53" s="11"/>
      <c r="D53" s="14"/>
      <c r="E53" s="14"/>
      <c r="F53" s="14"/>
      <c r="G53" s="14"/>
      <c r="H53" s="14"/>
      <c r="I53" s="14"/>
      <c r="J53" s="14"/>
      <c r="K53" s="13"/>
      <c r="L53" s="14"/>
      <c r="M53" s="14"/>
      <c r="N53" s="14"/>
      <c r="O53" s="14"/>
      <c r="P53" s="14"/>
      <c r="Q53" s="14"/>
      <c r="R53" s="14"/>
      <c r="S53" s="14"/>
      <c r="T53" s="14"/>
      <c r="U53" s="14"/>
      <c r="V53" s="14"/>
      <c r="W53" s="14"/>
      <c r="X53" s="14"/>
      <c r="Y53" s="14"/>
      <c r="Z53" s="14"/>
      <c r="AA53" s="14"/>
      <c r="AB53" s="13"/>
      <c r="AC53" s="14"/>
    </row>
    <row r="54" customFormat="1" spans="1:29">
      <c r="A54" s="24"/>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row>
    <row r="55" customFormat="1" spans="1:29">
      <c r="A55" s="24"/>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row>
    <row r="56" customFormat="1" spans="1:29">
      <c r="A56" s="24"/>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row>
    <row r="57" customFormat="1" spans="1:29">
      <c r="A57" s="24"/>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row>
    <row r="58" customFormat="1" spans="1:29">
      <c r="A58" s="24"/>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row>
    <row r="59" customFormat="1" spans="1:29">
      <c r="A59" s="24"/>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customFormat="1" spans="1:29">
      <c r="A60" s="24"/>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customFormat="1" spans="1:29">
      <c r="A61" s="24"/>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customFormat="1" spans="1:29">
      <c r="A62" s="24"/>
      <c r="B62" s="27"/>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sheetData>
  <mergeCells count="5">
    <mergeCell ref="A1:AB1"/>
    <mergeCell ref="A3:A5"/>
    <mergeCell ref="A6:A12"/>
    <mergeCell ref="A13:A15"/>
    <mergeCell ref="A17:A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topLeftCell="A28" workbookViewId="0">
      <selection activeCell="B47" sqref="B47:C53"/>
    </sheetView>
  </sheetViews>
  <sheetFormatPr defaultColWidth="9.02654867256637" defaultRowHeight="13.5" outlineLevelCol="2"/>
  <cols>
    <col min="1" max="1" width="23.4336283185841" customWidth="1"/>
  </cols>
  <sheetData>
    <row r="1" spans="1:3">
      <c r="A1" t="s">
        <v>275</v>
      </c>
      <c r="B1" t="s">
        <v>276</v>
      </c>
      <c r="C1" t="s">
        <v>277</v>
      </c>
    </row>
    <row r="2" spans="1:3">
      <c r="A2" t="s">
        <v>278</v>
      </c>
    </row>
    <row r="3" spans="1:3">
      <c r="A3" t="s">
        <v>279</v>
      </c>
    </row>
    <row r="4" spans="1:3">
      <c r="A4" t="s">
        <v>280</v>
      </c>
    </row>
    <row r="5" spans="1:3">
      <c r="A5" t="s">
        <v>281</v>
      </c>
    </row>
    <row r="6" spans="1:3">
      <c r="A6" t="s">
        <v>282</v>
      </c>
    </row>
    <row r="7" spans="1:3">
      <c r="A7" t="s">
        <v>283</v>
      </c>
    </row>
    <row r="8" spans="1:3">
      <c r="A8" t="s">
        <v>284</v>
      </c>
    </row>
    <row r="10" spans="1:3">
      <c r="A10" t="s">
        <v>285</v>
      </c>
      <c r="B10" t="s">
        <v>276</v>
      </c>
      <c r="C10" t="s">
        <v>277</v>
      </c>
    </row>
    <row r="11" spans="1:3">
      <c r="A11" t="s">
        <v>278</v>
      </c>
      <c r="B11"/>
      <c r="C11" s="26"/>
    </row>
    <row r="12" spans="1:3">
      <c r="A12" t="s">
        <v>279</v>
      </c>
    </row>
    <row r="13" spans="1:3">
      <c r="A13" t="s">
        <v>280</v>
      </c>
      <c r="B13"/>
      <c r="C13" s="26"/>
    </row>
    <row r="14" spans="1:3">
      <c r="A14" t="s">
        <v>281</v>
      </c>
      <c r="B14"/>
      <c r="C14" s="26"/>
    </row>
    <row r="15" spans="1:3">
      <c r="A15" t="s">
        <v>282</v>
      </c>
      <c r="B15"/>
      <c r="C15" s="26"/>
    </row>
    <row r="16" spans="1:3">
      <c r="A16" t="s">
        <v>283</v>
      </c>
      <c r="B16"/>
      <c r="C16" s="26"/>
    </row>
    <row r="17" spans="1:3">
      <c r="A17" t="s">
        <v>284</v>
      </c>
      <c r="B17"/>
      <c r="C17" s="26"/>
    </row>
    <row r="19" spans="1:3">
      <c r="A19" t="s">
        <v>286</v>
      </c>
      <c r="B19" t="s">
        <v>276</v>
      </c>
      <c r="C19" t="s">
        <v>277</v>
      </c>
    </row>
    <row r="20" spans="1:3">
      <c r="A20" t="s">
        <v>278</v>
      </c>
      <c r="B20"/>
      <c r="C20" s="26"/>
    </row>
    <row r="21" spans="1:3">
      <c r="A21" t="s">
        <v>279</v>
      </c>
    </row>
    <row r="22" spans="1:3">
      <c r="A22" t="s">
        <v>280</v>
      </c>
      <c r="B22"/>
      <c r="C22" s="26"/>
    </row>
    <row r="23" spans="1:3">
      <c r="A23" t="s">
        <v>281</v>
      </c>
      <c r="B23"/>
      <c r="C23" s="26"/>
    </row>
    <row r="24" spans="1:3">
      <c r="A24" t="s">
        <v>282</v>
      </c>
      <c r="B24"/>
      <c r="C24" s="26"/>
    </row>
    <row r="25" spans="1:3">
      <c r="A25" t="s">
        <v>283</v>
      </c>
      <c r="B25"/>
      <c r="C25" s="26"/>
    </row>
    <row r="26" spans="1:3">
      <c r="A26" t="s">
        <v>284</v>
      </c>
      <c r="B26"/>
      <c r="C26" s="26"/>
    </row>
    <row r="28" spans="1:3">
      <c r="A28" t="s">
        <v>287</v>
      </c>
      <c r="B28" t="s">
        <v>276</v>
      </c>
      <c r="C28" t="s">
        <v>277</v>
      </c>
    </row>
    <row r="29" spans="1:3">
      <c r="A29" t="s">
        <v>278</v>
      </c>
      <c r="B29"/>
      <c r="C29" s="26"/>
    </row>
    <row r="30" spans="1:3">
      <c r="A30" t="s">
        <v>279</v>
      </c>
    </row>
    <row r="31" spans="1:3">
      <c r="A31" t="s">
        <v>280</v>
      </c>
      <c r="B31"/>
      <c r="C31" s="26"/>
    </row>
    <row r="32" spans="1:3">
      <c r="A32" t="s">
        <v>281</v>
      </c>
      <c r="B32"/>
      <c r="C32" s="26"/>
    </row>
    <row r="33" spans="1:3">
      <c r="A33" t="s">
        <v>282</v>
      </c>
      <c r="B33"/>
      <c r="C33" s="26"/>
    </row>
    <row r="34" spans="1:3">
      <c r="A34" t="s">
        <v>283</v>
      </c>
      <c r="B34"/>
      <c r="C34" s="26"/>
    </row>
    <row r="35" spans="1:3">
      <c r="A35" t="s">
        <v>284</v>
      </c>
      <c r="B35"/>
      <c r="C35" s="26"/>
    </row>
    <row r="37" spans="1:3">
      <c r="A37" t="s">
        <v>288</v>
      </c>
      <c r="B37" t="s">
        <v>276</v>
      </c>
      <c r="C37" t="s">
        <v>277</v>
      </c>
    </row>
    <row r="38" spans="1:3">
      <c r="A38" t="s">
        <v>278</v>
      </c>
      <c r="B38"/>
      <c r="C38" s="26"/>
    </row>
    <row r="39" spans="1:3">
      <c r="A39" t="s">
        <v>279</v>
      </c>
      <c r="B39"/>
      <c r="C39" s="26"/>
    </row>
    <row r="40" spans="1:3">
      <c r="A40" t="s">
        <v>280</v>
      </c>
      <c r="B40"/>
      <c r="C40" s="26"/>
    </row>
    <row r="41" spans="1:3">
      <c r="A41" t="s">
        <v>281</v>
      </c>
      <c r="B41"/>
      <c r="C41" s="26"/>
    </row>
    <row r="42" spans="1:3">
      <c r="A42" t="s">
        <v>282</v>
      </c>
      <c r="B42"/>
      <c r="C42" s="26"/>
    </row>
    <row r="43" spans="1:3">
      <c r="A43" t="s">
        <v>283</v>
      </c>
      <c r="B43"/>
      <c r="C43" s="26"/>
    </row>
    <row r="44" spans="1:3">
      <c r="A44" t="s">
        <v>284</v>
      </c>
      <c r="B44"/>
      <c r="C44" s="26"/>
    </row>
    <row r="46" spans="1:3">
      <c r="A46" t="s">
        <v>289</v>
      </c>
      <c r="B46" t="s">
        <v>276</v>
      </c>
      <c r="C46" t="s">
        <v>277</v>
      </c>
    </row>
    <row r="47" spans="1:3">
      <c r="A47" t="s">
        <v>278</v>
      </c>
      <c r="B47"/>
      <c r="C47" s="26"/>
    </row>
    <row r="48" spans="1:3">
      <c r="A48" t="s">
        <v>279</v>
      </c>
      <c r="B48"/>
      <c r="C48" s="26"/>
    </row>
    <row r="49" spans="1:3">
      <c r="A49" t="s">
        <v>280</v>
      </c>
      <c r="B49"/>
      <c r="C49" s="26"/>
    </row>
    <row r="50" spans="1:3">
      <c r="A50" t="s">
        <v>281</v>
      </c>
      <c r="B50"/>
      <c r="C50" s="26"/>
    </row>
    <row r="51" spans="1:3">
      <c r="A51" t="s">
        <v>282</v>
      </c>
      <c r="B51"/>
      <c r="C51" s="26"/>
    </row>
    <row r="52" spans="1:3">
      <c r="A52" t="s">
        <v>283</v>
      </c>
      <c r="B52"/>
      <c r="C52" s="26"/>
    </row>
    <row r="53" spans="1:3">
      <c r="A53" t="s">
        <v>284</v>
      </c>
      <c r="B53"/>
      <c r="C53" s="26"/>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1"/>
  <sheetViews>
    <sheetView zoomScale="40" zoomScaleNormal="40" topLeftCell="A44" workbookViewId="0">
      <selection activeCell="AC44" sqref="AC$1:AC$1048576"/>
    </sheetView>
  </sheetViews>
  <sheetFormatPr defaultColWidth="9.02654867256637" defaultRowHeight="13.5"/>
  <cols>
    <col min="2" max="2" width="37.2477876106195" customWidth="1"/>
    <col min="3" max="3" width="44.2743362831858" customWidth="1"/>
    <col min="4" max="6" width="12.7964601769912"/>
    <col min="9" max="14" width="12.7964601769912"/>
    <col min="16" max="18" width="12.7964601769912"/>
    <col min="21" max="25" width="12.7964601769912"/>
    <col min="27"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94.5" spans="1:29">
      <c r="A3" s="15" t="s">
        <v>133</v>
      </c>
      <c r="B3" s="10" t="s">
        <v>28</v>
      </c>
      <c r="C3" s="11" t="s">
        <v>29</v>
      </c>
      <c r="D3" s="12">
        <v>5</v>
      </c>
      <c r="E3" s="12">
        <v>5</v>
      </c>
      <c r="F3" s="12">
        <v>5</v>
      </c>
      <c r="G3" s="12">
        <v>4</v>
      </c>
      <c r="H3" s="12">
        <v>5</v>
      </c>
      <c r="I3" s="12">
        <v>5</v>
      </c>
      <c r="J3" s="12">
        <v>5</v>
      </c>
      <c r="K3" s="13">
        <f t="shared" ref="K3:K9" si="0">SUM(D3:J3)</f>
        <v>34</v>
      </c>
      <c r="L3" s="12">
        <v>5</v>
      </c>
      <c r="M3" s="12">
        <v>5</v>
      </c>
      <c r="N3" s="12">
        <v>3</v>
      </c>
      <c r="O3" s="12">
        <v>5</v>
      </c>
      <c r="P3" s="12">
        <v>1</v>
      </c>
      <c r="Q3" s="12">
        <v>4</v>
      </c>
      <c r="R3" s="12">
        <v>4</v>
      </c>
      <c r="S3" s="12">
        <v>5</v>
      </c>
      <c r="T3" s="12">
        <v>5</v>
      </c>
      <c r="U3" s="12">
        <v>5</v>
      </c>
      <c r="V3" s="12">
        <v>5</v>
      </c>
      <c r="W3" s="12">
        <v>2</v>
      </c>
      <c r="X3" s="12">
        <v>1</v>
      </c>
      <c r="Y3" s="12">
        <v>3</v>
      </c>
      <c r="Z3" s="12">
        <v>3</v>
      </c>
      <c r="AA3" s="12">
        <v>3</v>
      </c>
      <c r="AB3" s="13">
        <f t="shared" ref="AB3:AB9" si="1">SUM(L3:AA3)</f>
        <v>59</v>
      </c>
      <c r="AC3" s="14"/>
    </row>
    <row r="4" ht="94.5" spans="1:29">
      <c r="A4" s="15"/>
      <c r="B4" s="10" t="s">
        <v>30</v>
      </c>
      <c r="C4" s="11" t="s">
        <v>31</v>
      </c>
      <c r="D4" s="12">
        <v>4</v>
      </c>
      <c r="E4" s="12">
        <v>5</v>
      </c>
      <c r="F4" s="12">
        <v>5</v>
      </c>
      <c r="G4" s="12">
        <v>4</v>
      </c>
      <c r="H4" s="12">
        <v>5</v>
      </c>
      <c r="I4" s="12">
        <v>5</v>
      </c>
      <c r="J4" s="12">
        <v>5</v>
      </c>
      <c r="K4" s="13">
        <f t="shared" si="0"/>
        <v>33</v>
      </c>
      <c r="L4" s="12">
        <v>5</v>
      </c>
      <c r="M4" s="12">
        <v>4</v>
      </c>
      <c r="N4" s="12">
        <v>3</v>
      </c>
      <c r="O4" s="12">
        <v>5</v>
      </c>
      <c r="P4" s="12">
        <v>1</v>
      </c>
      <c r="Q4" s="12">
        <v>4</v>
      </c>
      <c r="R4" s="12">
        <v>4</v>
      </c>
      <c r="S4" s="12">
        <v>3</v>
      </c>
      <c r="T4" s="12">
        <v>5</v>
      </c>
      <c r="U4" s="12">
        <v>5</v>
      </c>
      <c r="V4" s="12">
        <v>5</v>
      </c>
      <c r="W4" s="12">
        <v>2</v>
      </c>
      <c r="X4" s="12">
        <v>1</v>
      </c>
      <c r="Y4" s="12">
        <v>2</v>
      </c>
      <c r="Z4" s="12">
        <v>3</v>
      </c>
      <c r="AA4" s="12">
        <v>2</v>
      </c>
      <c r="AB4" s="13">
        <f t="shared" si="1"/>
        <v>54</v>
      </c>
      <c r="AC4" s="14"/>
    </row>
    <row r="5" ht="108" customHeight="1" spans="1:29">
      <c r="A5" s="15"/>
      <c r="B5" s="10" t="s">
        <v>32</v>
      </c>
      <c r="C5" s="11" t="s">
        <v>33</v>
      </c>
      <c r="D5" s="12">
        <v>5</v>
      </c>
      <c r="E5" s="12">
        <v>5</v>
      </c>
      <c r="F5" s="12">
        <v>5</v>
      </c>
      <c r="G5" s="12">
        <v>4</v>
      </c>
      <c r="H5" s="12">
        <v>5</v>
      </c>
      <c r="I5" s="12">
        <v>5</v>
      </c>
      <c r="J5" s="12">
        <v>5</v>
      </c>
      <c r="K5" s="13">
        <f t="shared" si="0"/>
        <v>34</v>
      </c>
      <c r="L5" s="12">
        <v>5</v>
      </c>
      <c r="M5" s="12">
        <v>5</v>
      </c>
      <c r="N5" s="12">
        <v>3</v>
      </c>
      <c r="O5" s="12">
        <v>5</v>
      </c>
      <c r="P5" s="12">
        <v>1</v>
      </c>
      <c r="Q5" s="12">
        <v>4</v>
      </c>
      <c r="R5" s="12">
        <v>3</v>
      </c>
      <c r="S5" s="12">
        <v>5</v>
      </c>
      <c r="T5" s="12">
        <v>5</v>
      </c>
      <c r="U5" s="12">
        <v>5</v>
      </c>
      <c r="V5" s="12">
        <v>5</v>
      </c>
      <c r="W5" s="12">
        <v>2</v>
      </c>
      <c r="X5" s="12">
        <v>1</v>
      </c>
      <c r="Y5" s="12">
        <v>3</v>
      </c>
      <c r="Z5" s="12">
        <v>3</v>
      </c>
      <c r="AA5" s="12">
        <v>3</v>
      </c>
      <c r="AB5" s="13">
        <f t="shared" si="1"/>
        <v>58</v>
      </c>
      <c r="AC5" s="14"/>
    </row>
    <row r="6" ht="94.5" spans="1:29">
      <c r="A6" s="15"/>
      <c r="B6" s="10" t="s">
        <v>34</v>
      </c>
      <c r="C6" s="11" t="s">
        <v>35</v>
      </c>
      <c r="D6" s="12">
        <v>5</v>
      </c>
      <c r="E6" s="12">
        <v>5</v>
      </c>
      <c r="F6" s="12">
        <v>5</v>
      </c>
      <c r="G6" s="12">
        <v>4</v>
      </c>
      <c r="H6" s="12">
        <v>5</v>
      </c>
      <c r="I6" s="12">
        <v>5</v>
      </c>
      <c r="J6" s="12">
        <v>5</v>
      </c>
      <c r="K6" s="13">
        <f t="shared" si="0"/>
        <v>34</v>
      </c>
      <c r="L6" s="12">
        <v>5</v>
      </c>
      <c r="M6" s="12">
        <v>5</v>
      </c>
      <c r="N6" s="12">
        <v>3</v>
      </c>
      <c r="O6" s="12">
        <v>5</v>
      </c>
      <c r="P6" s="12">
        <v>1</v>
      </c>
      <c r="Q6" s="12">
        <v>4</v>
      </c>
      <c r="R6" s="12">
        <v>4</v>
      </c>
      <c r="S6" s="12">
        <v>5</v>
      </c>
      <c r="T6" s="12">
        <v>5</v>
      </c>
      <c r="U6" s="12">
        <v>5</v>
      </c>
      <c r="V6" s="12">
        <v>5</v>
      </c>
      <c r="W6" s="12">
        <v>1</v>
      </c>
      <c r="X6" s="12">
        <v>1</v>
      </c>
      <c r="Y6" s="12">
        <v>3</v>
      </c>
      <c r="Z6" s="12">
        <v>3</v>
      </c>
      <c r="AA6" s="12">
        <v>3</v>
      </c>
      <c r="AB6" s="13">
        <f t="shared" si="1"/>
        <v>58</v>
      </c>
      <c r="AC6" s="14"/>
    </row>
    <row r="7" ht="94.5" spans="1:29">
      <c r="A7" s="15"/>
      <c r="B7" s="10" t="s">
        <v>36</v>
      </c>
      <c r="C7" s="11" t="s">
        <v>37</v>
      </c>
      <c r="D7" s="12">
        <v>5</v>
      </c>
      <c r="E7" s="12">
        <v>5</v>
      </c>
      <c r="F7" s="12">
        <v>5</v>
      </c>
      <c r="G7" s="12">
        <v>4</v>
      </c>
      <c r="H7" s="12">
        <v>5</v>
      </c>
      <c r="I7" s="12">
        <v>5</v>
      </c>
      <c r="J7" s="12">
        <v>5</v>
      </c>
      <c r="K7" s="13">
        <f t="shared" si="0"/>
        <v>34</v>
      </c>
      <c r="L7" s="12">
        <v>5</v>
      </c>
      <c r="M7" s="12">
        <v>5</v>
      </c>
      <c r="N7" s="12">
        <v>3</v>
      </c>
      <c r="O7" s="12">
        <v>5</v>
      </c>
      <c r="P7" s="12">
        <v>1</v>
      </c>
      <c r="Q7" s="12">
        <v>4</v>
      </c>
      <c r="R7" s="12">
        <v>4</v>
      </c>
      <c r="S7" s="12">
        <v>5</v>
      </c>
      <c r="T7" s="12">
        <v>5</v>
      </c>
      <c r="U7" s="12">
        <v>5</v>
      </c>
      <c r="V7" s="12">
        <v>5</v>
      </c>
      <c r="W7" s="12">
        <v>1</v>
      </c>
      <c r="X7" s="12">
        <v>1</v>
      </c>
      <c r="Y7" s="12">
        <v>3</v>
      </c>
      <c r="Z7" s="12">
        <v>3</v>
      </c>
      <c r="AA7" s="12">
        <v>3</v>
      </c>
      <c r="AB7" s="13">
        <f t="shared" si="1"/>
        <v>58</v>
      </c>
      <c r="AC7" s="14"/>
    </row>
    <row r="8" ht="108" customHeight="1" spans="1:29">
      <c r="A8" s="15"/>
      <c r="B8" s="10" t="s">
        <v>38</v>
      </c>
      <c r="C8" s="11" t="s">
        <v>39</v>
      </c>
      <c r="D8" s="12">
        <v>5</v>
      </c>
      <c r="E8" s="12">
        <v>5</v>
      </c>
      <c r="F8" s="12">
        <v>5</v>
      </c>
      <c r="G8" s="12">
        <v>4</v>
      </c>
      <c r="H8" s="12">
        <v>4</v>
      </c>
      <c r="I8" s="12">
        <v>4</v>
      </c>
      <c r="J8" s="12">
        <v>4</v>
      </c>
      <c r="K8" s="13">
        <f t="shared" si="0"/>
        <v>31</v>
      </c>
      <c r="L8" s="12">
        <v>5</v>
      </c>
      <c r="M8" s="12">
        <v>5</v>
      </c>
      <c r="N8" s="12">
        <v>3</v>
      </c>
      <c r="O8" s="12">
        <v>5</v>
      </c>
      <c r="P8" s="12">
        <v>1</v>
      </c>
      <c r="Q8" s="12">
        <v>4</v>
      </c>
      <c r="R8" s="12">
        <v>4</v>
      </c>
      <c r="S8" s="12">
        <v>5</v>
      </c>
      <c r="T8" s="12">
        <v>5</v>
      </c>
      <c r="U8" s="12">
        <v>5</v>
      </c>
      <c r="V8" s="12">
        <v>5</v>
      </c>
      <c r="W8" s="12">
        <v>1</v>
      </c>
      <c r="X8" s="12">
        <v>1</v>
      </c>
      <c r="Y8" s="12">
        <v>2</v>
      </c>
      <c r="Z8" s="12">
        <v>3</v>
      </c>
      <c r="AA8" s="12">
        <v>2</v>
      </c>
      <c r="AB8" s="13">
        <f t="shared" si="1"/>
        <v>56</v>
      </c>
      <c r="AC8" s="13"/>
    </row>
    <row r="9" ht="94.5" spans="1:29">
      <c r="A9" s="15"/>
      <c r="B9" s="10" t="s">
        <v>40</v>
      </c>
      <c r="C9" s="11" t="s">
        <v>41</v>
      </c>
      <c r="D9" s="12">
        <v>5</v>
      </c>
      <c r="E9" s="12">
        <v>5</v>
      </c>
      <c r="F9" s="12">
        <v>5</v>
      </c>
      <c r="G9" s="12">
        <v>4</v>
      </c>
      <c r="H9" s="12">
        <v>5</v>
      </c>
      <c r="I9" s="12">
        <v>5</v>
      </c>
      <c r="J9" s="12">
        <v>5</v>
      </c>
      <c r="K9" s="13">
        <f t="shared" si="0"/>
        <v>34</v>
      </c>
      <c r="L9" s="12">
        <v>5</v>
      </c>
      <c r="M9" s="12">
        <v>5</v>
      </c>
      <c r="N9" s="12">
        <v>3</v>
      </c>
      <c r="O9" s="12">
        <v>5</v>
      </c>
      <c r="P9" s="12">
        <v>1</v>
      </c>
      <c r="Q9" s="12">
        <v>3</v>
      </c>
      <c r="R9" s="12">
        <v>3</v>
      </c>
      <c r="S9" s="12">
        <v>5</v>
      </c>
      <c r="T9" s="12">
        <v>5</v>
      </c>
      <c r="U9" s="12">
        <v>5</v>
      </c>
      <c r="V9" s="12">
        <v>5</v>
      </c>
      <c r="W9" s="12">
        <v>2</v>
      </c>
      <c r="X9" s="12">
        <v>1</v>
      </c>
      <c r="Y9" s="12">
        <v>3</v>
      </c>
      <c r="Z9" s="12">
        <v>3</v>
      </c>
      <c r="AA9" s="12">
        <v>3</v>
      </c>
      <c r="AB9" s="13">
        <f t="shared" si="1"/>
        <v>57</v>
      </c>
      <c r="AC9" s="14"/>
    </row>
    <row r="10" spans="1:29">
      <c r="D10">
        <f>AVERAGE(D3:D9)</f>
        <v>4.85714285714286</v>
      </c>
      <c r="E10">
        <f t="shared" ref="E10:AB10" si="2">AVERAGE(E3:E9)</f>
        <v>5</v>
      </c>
      <c r="F10">
        <f t="shared" si="2"/>
        <v>5</v>
      </c>
      <c r="G10">
        <f t="shared" si="2"/>
        <v>4</v>
      </c>
      <c r="H10">
        <f t="shared" si="2"/>
        <v>4.85714285714286</v>
      </c>
      <c r="I10">
        <f t="shared" si="2"/>
        <v>4.85714285714286</v>
      </c>
      <c r="J10">
        <f t="shared" si="2"/>
        <v>4.85714285714286</v>
      </c>
      <c r="K10">
        <f t="shared" si="2"/>
        <v>33.4285714285714</v>
      </c>
      <c r="L10">
        <f t="shared" si="2"/>
        <v>5</v>
      </c>
      <c r="M10">
        <f t="shared" si="2"/>
        <v>4.85714285714286</v>
      </c>
      <c r="N10">
        <f t="shared" si="2"/>
        <v>3</v>
      </c>
      <c r="O10">
        <f t="shared" si="2"/>
        <v>5</v>
      </c>
      <c r="P10">
        <f t="shared" si="2"/>
        <v>1</v>
      </c>
      <c r="Q10">
        <f t="shared" si="2"/>
        <v>3.85714285714286</v>
      </c>
      <c r="R10">
        <f t="shared" si="2"/>
        <v>3.71428571428571</v>
      </c>
      <c r="S10">
        <f t="shared" si="2"/>
        <v>4.71428571428571</v>
      </c>
      <c r="T10">
        <f t="shared" si="2"/>
        <v>5</v>
      </c>
      <c r="U10">
        <f t="shared" si="2"/>
        <v>5</v>
      </c>
      <c r="V10">
        <f t="shared" si="2"/>
        <v>5</v>
      </c>
      <c r="W10">
        <f t="shared" si="2"/>
        <v>1.57142857142857</v>
      </c>
      <c r="X10">
        <f t="shared" si="2"/>
        <v>1</v>
      </c>
      <c r="Y10">
        <f t="shared" si="2"/>
        <v>2.71428571428571</v>
      </c>
      <c r="Z10">
        <f t="shared" si="2"/>
        <v>3</v>
      </c>
      <c r="AA10">
        <f t="shared" si="2"/>
        <v>2.71428571428571</v>
      </c>
      <c r="AB10">
        <f t="shared" si="2"/>
        <v>57.1428571428571</v>
      </c>
    </row>
    <row r="12" ht="216" spans="1:29">
      <c r="A12" s="15" t="s">
        <v>42</v>
      </c>
      <c r="B12" s="10" t="s">
        <v>43</v>
      </c>
      <c r="C12" s="11" t="s">
        <v>44</v>
      </c>
      <c r="D12" s="12">
        <v>5</v>
      </c>
      <c r="E12" s="12">
        <v>4</v>
      </c>
      <c r="F12" s="12">
        <v>5</v>
      </c>
      <c r="G12" s="12">
        <v>5</v>
      </c>
      <c r="H12" s="12">
        <v>4</v>
      </c>
      <c r="I12" s="12">
        <v>5</v>
      </c>
      <c r="J12" s="12">
        <v>5</v>
      </c>
      <c r="K12" s="13">
        <f t="shared" ref="K12:K29" si="3">SUM(D12:J12)</f>
        <v>33</v>
      </c>
      <c r="L12" s="12">
        <v>5</v>
      </c>
      <c r="M12" s="12">
        <v>5</v>
      </c>
      <c r="N12" s="12">
        <v>3</v>
      </c>
      <c r="O12" s="12">
        <v>5</v>
      </c>
      <c r="P12" s="12">
        <v>4</v>
      </c>
      <c r="Q12" s="12">
        <v>3</v>
      </c>
      <c r="R12" s="12">
        <v>3</v>
      </c>
      <c r="S12" s="12">
        <v>5</v>
      </c>
      <c r="T12" s="12">
        <v>3</v>
      </c>
      <c r="U12" s="12">
        <v>5</v>
      </c>
      <c r="V12" s="12">
        <v>5</v>
      </c>
      <c r="W12" s="12">
        <v>5</v>
      </c>
      <c r="X12" s="12">
        <v>3</v>
      </c>
      <c r="Y12" s="12">
        <v>4</v>
      </c>
      <c r="Z12" s="12">
        <v>3</v>
      </c>
      <c r="AA12" s="12">
        <v>4</v>
      </c>
      <c r="AB12" s="13">
        <f t="shared" ref="AB12:AB29" si="4">SUM(L12:AA12)</f>
        <v>65</v>
      </c>
      <c r="AC12" s="13"/>
    </row>
    <row r="13" ht="148.5" spans="1:29">
      <c r="A13" s="15"/>
      <c r="B13" s="10" t="s">
        <v>45</v>
      </c>
      <c r="C13" s="11" t="s">
        <v>46</v>
      </c>
      <c r="D13" s="12">
        <v>5</v>
      </c>
      <c r="E13" s="12">
        <v>5</v>
      </c>
      <c r="F13" s="12">
        <v>5</v>
      </c>
      <c r="G13" s="12">
        <v>5</v>
      </c>
      <c r="H13" s="12">
        <v>4</v>
      </c>
      <c r="I13" s="12">
        <v>5</v>
      </c>
      <c r="J13" s="12">
        <v>5</v>
      </c>
      <c r="K13" s="13">
        <f t="shared" si="3"/>
        <v>34</v>
      </c>
      <c r="L13" s="12">
        <v>5</v>
      </c>
      <c r="M13" s="12">
        <v>5</v>
      </c>
      <c r="N13" s="12">
        <v>3</v>
      </c>
      <c r="O13" s="12">
        <v>5</v>
      </c>
      <c r="P13" s="12">
        <v>1</v>
      </c>
      <c r="Q13" s="12">
        <v>4</v>
      </c>
      <c r="R13" s="12">
        <v>4</v>
      </c>
      <c r="S13" s="12">
        <v>5</v>
      </c>
      <c r="T13" s="12">
        <v>5</v>
      </c>
      <c r="U13" s="12">
        <v>5</v>
      </c>
      <c r="V13" s="12">
        <v>5</v>
      </c>
      <c r="W13" s="12">
        <v>3</v>
      </c>
      <c r="X13" s="12">
        <v>1</v>
      </c>
      <c r="Y13" s="12">
        <v>3</v>
      </c>
      <c r="Z13" s="12">
        <v>3</v>
      </c>
      <c r="AA13" s="12">
        <v>3</v>
      </c>
      <c r="AB13" s="13">
        <f t="shared" si="4"/>
        <v>60</v>
      </c>
      <c r="AC13" s="14"/>
    </row>
    <row r="14" ht="135" spans="1:29">
      <c r="A14" s="15"/>
      <c r="B14" s="10" t="s">
        <v>47</v>
      </c>
      <c r="C14" s="11" t="s">
        <v>48</v>
      </c>
      <c r="D14" s="12">
        <v>5</v>
      </c>
      <c r="E14" s="12">
        <v>5</v>
      </c>
      <c r="F14" s="12">
        <v>5</v>
      </c>
      <c r="G14" s="12">
        <v>5</v>
      </c>
      <c r="H14" s="12">
        <v>5</v>
      </c>
      <c r="I14" s="12">
        <v>5</v>
      </c>
      <c r="J14" s="12">
        <v>5</v>
      </c>
      <c r="K14" s="13">
        <f t="shared" si="3"/>
        <v>35</v>
      </c>
      <c r="L14" s="12">
        <v>5</v>
      </c>
      <c r="M14" s="12">
        <v>5</v>
      </c>
      <c r="N14" s="12">
        <v>3</v>
      </c>
      <c r="O14" s="12">
        <v>5</v>
      </c>
      <c r="P14" s="12">
        <v>2</v>
      </c>
      <c r="Q14" s="12">
        <v>4</v>
      </c>
      <c r="R14" s="12">
        <v>3</v>
      </c>
      <c r="S14" s="12">
        <v>5</v>
      </c>
      <c r="T14" s="12">
        <v>5</v>
      </c>
      <c r="U14" s="12">
        <v>5</v>
      </c>
      <c r="V14" s="12">
        <v>5</v>
      </c>
      <c r="W14" s="12">
        <v>3</v>
      </c>
      <c r="X14" s="12">
        <v>2</v>
      </c>
      <c r="Y14" s="12">
        <v>3</v>
      </c>
      <c r="Z14" s="12">
        <v>3</v>
      </c>
      <c r="AA14" s="12">
        <v>3</v>
      </c>
      <c r="AB14" s="13">
        <f t="shared" si="4"/>
        <v>61</v>
      </c>
      <c r="AC14" s="14"/>
    </row>
    <row r="15" ht="135" spans="1:29">
      <c r="A15" s="15"/>
      <c r="B15" s="10" t="s">
        <v>49</v>
      </c>
      <c r="C15" s="11" t="s">
        <v>50</v>
      </c>
      <c r="D15" s="12">
        <v>5</v>
      </c>
      <c r="E15" s="12">
        <v>5</v>
      </c>
      <c r="F15" s="12">
        <v>5</v>
      </c>
      <c r="G15" s="12">
        <v>5</v>
      </c>
      <c r="H15" s="12">
        <v>5</v>
      </c>
      <c r="I15" s="12">
        <v>5</v>
      </c>
      <c r="J15" s="12">
        <v>5</v>
      </c>
      <c r="K15" s="13">
        <f t="shared" si="3"/>
        <v>35</v>
      </c>
      <c r="L15" s="12">
        <v>5</v>
      </c>
      <c r="M15" s="12">
        <v>5</v>
      </c>
      <c r="N15" s="12">
        <v>3</v>
      </c>
      <c r="O15" s="12">
        <v>5</v>
      </c>
      <c r="P15" s="12">
        <v>2</v>
      </c>
      <c r="Q15" s="12">
        <v>4</v>
      </c>
      <c r="R15" s="12">
        <v>3</v>
      </c>
      <c r="S15" s="12">
        <v>5</v>
      </c>
      <c r="T15" s="12">
        <v>5</v>
      </c>
      <c r="U15" s="12">
        <v>5</v>
      </c>
      <c r="V15" s="12">
        <v>5</v>
      </c>
      <c r="W15" s="12">
        <v>2</v>
      </c>
      <c r="X15" s="12">
        <v>2</v>
      </c>
      <c r="Y15" s="12">
        <v>3</v>
      </c>
      <c r="Z15" s="12">
        <v>3</v>
      </c>
      <c r="AA15" s="12">
        <v>3</v>
      </c>
      <c r="AB15" s="13">
        <f t="shared" si="4"/>
        <v>60</v>
      </c>
      <c r="AC15" s="14"/>
    </row>
    <row r="16" ht="98" customHeight="1" spans="1:29">
      <c r="A16" s="15"/>
      <c r="B16" s="10" t="s">
        <v>51</v>
      </c>
      <c r="C16" s="11" t="s">
        <v>52</v>
      </c>
      <c r="D16" s="12">
        <v>5</v>
      </c>
      <c r="E16" s="12">
        <v>5</v>
      </c>
      <c r="F16" s="12">
        <v>5</v>
      </c>
      <c r="G16" s="12">
        <v>5</v>
      </c>
      <c r="H16" s="12">
        <v>5</v>
      </c>
      <c r="I16" s="12">
        <v>5</v>
      </c>
      <c r="J16" s="12">
        <v>5</v>
      </c>
      <c r="K16" s="13">
        <f t="shared" si="3"/>
        <v>35</v>
      </c>
      <c r="L16" s="12">
        <v>5</v>
      </c>
      <c r="M16" s="12">
        <v>5</v>
      </c>
      <c r="N16" s="12">
        <v>3</v>
      </c>
      <c r="O16" s="12">
        <v>5</v>
      </c>
      <c r="P16" s="12">
        <v>1</v>
      </c>
      <c r="Q16" s="12">
        <v>4</v>
      </c>
      <c r="R16" s="12">
        <v>4</v>
      </c>
      <c r="S16" s="12">
        <v>5</v>
      </c>
      <c r="T16" s="12">
        <v>5</v>
      </c>
      <c r="U16" s="12">
        <v>5</v>
      </c>
      <c r="V16" s="12">
        <v>5</v>
      </c>
      <c r="W16" s="12">
        <v>3</v>
      </c>
      <c r="X16" s="12">
        <v>2</v>
      </c>
      <c r="Y16" s="12">
        <v>3</v>
      </c>
      <c r="Z16" s="12">
        <v>3</v>
      </c>
      <c r="AA16" s="12">
        <v>3</v>
      </c>
      <c r="AB16" s="13">
        <f t="shared" si="4"/>
        <v>61</v>
      </c>
      <c r="AC16" s="14"/>
    </row>
    <row r="17" ht="148.5" spans="1:29">
      <c r="A17" s="15"/>
      <c r="B17" s="10" t="s">
        <v>53</v>
      </c>
      <c r="C17" s="11" t="s">
        <v>54</v>
      </c>
      <c r="D17" s="12">
        <v>4</v>
      </c>
      <c r="E17" s="12">
        <v>5</v>
      </c>
      <c r="F17" s="12">
        <v>4</v>
      </c>
      <c r="G17" s="12">
        <v>5</v>
      </c>
      <c r="H17" s="12">
        <v>5</v>
      </c>
      <c r="I17" s="12">
        <v>5</v>
      </c>
      <c r="J17" s="12">
        <v>5</v>
      </c>
      <c r="K17" s="13">
        <f t="shared" si="3"/>
        <v>33</v>
      </c>
      <c r="L17" s="12">
        <v>5</v>
      </c>
      <c r="M17" s="12">
        <v>5</v>
      </c>
      <c r="N17" s="12">
        <v>3</v>
      </c>
      <c r="O17" s="12">
        <v>5</v>
      </c>
      <c r="P17" s="12">
        <v>1</v>
      </c>
      <c r="Q17" s="12">
        <v>4</v>
      </c>
      <c r="R17" s="12">
        <v>4</v>
      </c>
      <c r="S17" s="12">
        <v>5</v>
      </c>
      <c r="T17" s="12">
        <v>5</v>
      </c>
      <c r="U17" s="12">
        <v>5</v>
      </c>
      <c r="V17" s="12">
        <v>5</v>
      </c>
      <c r="W17" s="12">
        <v>3</v>
      </c>
      <c r="X17" s="12">
        <v>2</v>
      </c>
      <c r="Y17" s="12">
        <v>4</v>
      </c>
      <c r="Z17" s="12">
        <v>3</v>
      </c>
      <c r="AA17" s="12">
        <v>4</v>
      </c>
      <c r="AB17" s="13">
        <f t="shared" si="4"/>
        <v>63</v>
      </c>
      <c r="AC17" s="14"/>
    </row>
    <row r="18" ht="121.5" spans="1:29">
      <c r="A18" s="15"/>
      <c r="B18" s="10" t="s">
        <v>55</v>
      </c>
      <c r="C18" s="11" t="s">
        <v>56</v>
      </c>
      <c r="D18" s="12">
        <v>5</v>
      </c>
      <c r="E18" s="12">
        <v>5</v>
      </c>
      <c r="F18" s="12">
        <v>5</v>
      </c>
      <c r="G18" s="12">
        <v>5</v>
      </c>
      <c r="H18" s="12">
        <v>5</v>
      </c>
      <c r="I18" s="12">
        <v>5</v>
      </c>
      <c r="J18" s="12">
        <v>5</v>
      </c>
      <c r="K18" s="13">
        <f t="shared" si="3"/>
        <v>35</v>
      </c>
      <c r="L18" s="12">
        <v>5</v>
      </c>
      <c r="M18" s="12">
        <v>5</v>
      </c>
      <c r="N18" s="12">
        <v>3</v>
      </c>
      <c r="O18" s="12">
        <v>5</v>
      </c>
      <c r="P18" s="12">
        <v>2</v>
      </c>
      <c r="Q18" s="12">
        <v>4</v>
      </c>
      <c r="R18" s="12">
        <v>4</v>
      </c>
      <c r="S18" s="12">
        <v>5</v>
      </c>
      <c r="T18" s="12">
        <v>5</v>
      </c>
      <c r="U18" s="12">
        <v>5</v>
      </c>
      <c r="V18" s="12">
        <v>5</v>
      </c>
      <c r="W18" s="12">
        <v>3</v>
      </c>
      <c r="X18" s="12">
        <v>2</v>
      </c>
      <c r="Y18" s="12">
        <v>3</v>
      </c>
      <c r="Z18" s="12">
        <v>3</v>
      </c>
      <c r="AA18" s="12">
        <v>3</v>
      </c>
      <c r="AB18" s="13">
        <f t="shared" si="4"/>
        <v>62</v>
      </c>
      <c r="AC18" s="14"/>
    </row>
    <row r="19" ht="135" spans="1:29">
      <c r="A19" s="15"/>
      <c r="B19" s="10" t="s">
        <v>57</v>
      </c>
      <c r="C19" s="11" t="s">
        <v>58</v>
      </c>
      <c r="D19" s="12">
        <v>5</v>
      </c>
      <c r="E19" s="12">
        <v>5</v>
      </c>
      <c r="F19" s="12">
        <v>5</v>
      </c>
      <c r="G19" s="12">
        <v>5</v>
      </c>
      <c r="H19" s="12">
        <v>5</v>
      </c>
      <c r="I19" s="12">
        <v>5</v>
      </c>
      <c r="J19" s="12">
        <v>5</v>
      </c>
      <c r="K19" s="13">
        <f t="shared" si="3"/>
        <v>35</v>
      </c>
      <c r="L19" s="12">
        <v>5</v>
      </c>
      <c r="M19" s="12">
        <v>5</v>
      </c>
      <c r="N19" s="12">
        <v>3</v>
      </c>
      <c r="O19" s="12">
        <v>5</v>
      </c>
      <c r="P19" s="12">
        <v>2</v>
      </c>
      <c r="Q19" s="12">
        <v>4</v>
      </c>
      <c r="R19" s="12">
        <v>4</v>
      </c>
      <c r="S19" s="12">
        <v>5</v>
      </c>
      <c r="T19" s="12">
        <v>5</v>
      </c>
      <c r="U19" s="12">
        <v>5</v>
      </c>
      <c r="V19" s="12">
        <v>5</v>
      </c>
      <c r="W19" s="12">
        <v>4</v>
      </c>
      <c r="X19" s="12">
        <v>3</v>
      </c>
      <c r="Y19" s="12">
        <v>4</v>
      </c>
      <c r="Z19" s="12">
        <v>3</v>
      </c>
      <c r="AA19" s="12">
        <v>4</v>
      </c>
      <c r="AB19" s="13">
        <f t="shared" si="4"/>
        <v>66</v>
      </c>
      <c r="AC19" s="14"/>
    </row>
    <row r="20" ht="121.5" spans="1:29">
      <c r="A20" s="15"/>
      <c r="B20" s="10" t="s">
        <v>59</v>
      </c>
      <c r="C20" s="11" t="s">
        <v>60</v>
      </c>
      <c r="D20" s="12">
        <v>5</v>
      </c>
      <c r="E20" s="12">
        <v>5</v>
      </c>
      <c r="F20" s="12">
        <v>5</v>
      </c>
      <c r="G20" s="12">
        <v>5</v>
      </c>
      <c r="H20" s="12">
        <v>5</v>
      </c>
      <c r="I20" s="12">
        <v>5</v>
      </c>
      <c r="J20" s="12">
        <v>5</v>
      </c>
      <c r="K20" s="13">
        <f t="shared" si="3"/>
        <v>35</v>
      </c>
      <c r="L20" s="12">
        <v>5</v>
      </c>
      <c r="M20" s="12">
        <v>5</v>
      </c>
      <c r="N20" s="12">
        <v>3</v>
      </c>
      <c r="O20" s="12">
        <v>5</v>
      </c>
      <c r="P20" s="12">
        <v>2</v>
      </c>
      <c r="Q20" s="12">
        <v>4</v>
      </c>
      <c r="R20" s="12">
        <v>4</v>
      </c>
      <c r="S20" s="12">
        <v>5</v>
      </c>
      <c r="T20" s="12">
        <v>5</v>
      </c>
      <c r="U20" s="12">
        <v>5</v>
      </c>
      <c r="V20" s="12">
        <v>5</v>
      </c>
      <c r="W20" s="12">
        <v>3</v>
      </c>
      <c r="X20" s="12">
        <v>2</v>
      </c>
      <c r="Y20" s="12">
        <v>3</v>
      </c>
      <c r="Z20" s="12">
        <v>3</v>
      </c>
      <c r="AA20" s="12">
        <v>3</v>
      </c>
      <c r="AB20" s="13">
        <f t="shared" si="4"/>
        <v>62</v>
      </c>
      <c r="AC20" s="14"/>
    </row>
    <row r="21" ht="202.5" spans="1:29">
      <c r="A21" s="15"/>
      <c r="B21" s="10" t="s">
        <v>61</v>
      </c>
      <c r="C21" s="11" t="s">
        <v>62</v>
      </c>
      <c r="D21" s="12">
        <v>4</v>
      </c>
      <c r="E21" s="12">
        <v>5</v>
      </c>
      <c r="F21" s="12">
        <v>5</v>
      </c>
      <c r="G21" s="12">
        <v>5</v>
      </c>
      <c r="H21" s="12">
        <v>5</v>
      </c>
      <c r="I21" s="12">
        <v>5</v>
      </c>
      <c r="J21" s="12">
        <v>5</v>
      </c>
      <c r="K21" s="13">
        <f t="shared" si="3"/>
        <v>34</v>
      </c>
      <c r="L21" s="12">
        <v>4</v>
      </c>
      <c r="M21" s="12">
        <v>5</v>
      </c>
      <c r="N21" s="12">
        <v>3</v>
      </c>
      <c r="O21" s="12">
        <v>5</v>
      </c>
      <c r="P21" s="12">
        <v>3</v>
      </c>
      <c r="Q21" s="12">
        <v>4</v>
      </c>
      <c r="R21" s="12">
        <v>4</v>
      </c>
      <c r="S21" s="12">
        <v>5</v>
      </c>
      <c r="T21" s="12">
        <v>5</v>
      </c>
      <c r="U21" s="12">
        <v>5</v>
      </c>
      <c r="V21" s="12">
        <v>5</v>
      </c>
      <c r="W21" s="12">
        <v>4</v>
      </c>
      <c r="X21" s="12">
        <v>3</v>
      </c>
      <c r="Y21" s="12">
        <v>4</v>
      </c>
      <c r="Z21" s="12">
        <v>3</v>
      </c>
      <c r="AA21" s="12">
        <v>4</v>
      </c>
      <c r="AB21" s="13">
        <f t="shared" si="4"/>
        <v>66</v>
      </c>
      <c r="AC21" s="14"/>
    </row>
    <row r="22" ht="108" spans="1:29">
      <c r="A22" s="15"/>
      <c r="B22" s="10" t="s">
        <v>63</v>
      </c>
      <c r="C22" s="11" t="s">
        <v>64</v>
      </c>
      <c r="D22" s="12">
        <v>5</v>
      </c>
      <c r="E22" s="12">
        <v>5</v>
      </c>
      <c r="F22" s="12">
        <v>5</v>
      </c>
      <c r="G22" s="12">
        <v>5</v>
      </c>
      <c r="H22" s="12">
        <v>5</v>
      </c>
      <c r="I22" s="12">
        <v>5</v>
      </c>
      <c r="J22" s="12">
        <v>5</v>
      </c>
      <c r="K22" s="13">
        <f t="shared" si="3"/>
        <v>35</v>
      </c>
      <c r="L22" s="12">
        <v>5</v>
      </c>
      <c r="M22" s="12">
        <v>5</v>
      </c>
      <c r="N22" s="12">
        <v>3</v>
      </c>
      <c r="O22" s="12">
        <v>5</v>
      </c>
      <c r="P22" s="12">
        <v>1</v>
      </c>
      <c r="Q22" s="12">
        <v>4</v>
      </c>
      <c r="R22" s="12">
        <v>4</v>
      </c>
      <c r="S22" s="12">
        <v>5</v>
      </c>
      <c r="T22" s="12">
        <v>5</v>
      </c>
      <c r="U22" s="12">
        <v>5</v>
      </c>
      <c r="V22" s="12">
        <v>5</v>
      </c>
      <c r="W22" s="12">
        <v>3</v>
      </c>
      <c r="X22" s="12">
        <v>2</v>
      </c>
      <c r="Y22" s="12">
        <v>3</v>
      </c>
      <c r="Z22" s="12">
        <v>3</v>
      </c>
      <c r="AA22" s="12">
        <v>3</v>
      </c>
      <c r="AB22" s="13">
        <f t="shared" si="4"/>
        <v>61</v>
      </c>
      <c r="AC22" s="14"/>
    </row>
    <row r="23" ht="189" spans="1:29">
      <c r="A23" s="15"/>
      <c r="B23" s="10" t="s">
        <v>65</v>
      </c>
      <c r="C23" s="11" t="s">
        <v>66</v>
      </c>
      <c r="D23" s="12">
        <v>4</v>
      </c>
      <c r="E23" s="12">
        <v>5</v>
      </c>
      <c r="F23" s="12">
        <v>5</v>
      </c>
      <c r="G23" s="12">
        <v>5</v>
      </c>
      <c r="H23" s="12">
        <v>5</v>
      </c>
      <c r="I23" s="12">
        <v>5</v>
      </c>
      <c r="J23" s="12">
        <v>5</v>
      </c>
      <c r="K23" s="13">
        <f t="shared" si="3"/>
        <v>34</v>
      </c>
      <c r="L23" s="12">
        <v>5</v>
      </c>
      <c r="M23" s="12">
        <v>5</v>
      </c>
      <c r="N23" s="12">
        <v>3</v>
      </c>
      <c r="O23" s="12">
        <v>5</v>
      </c>
      <c r="P23" s="12">
        <v>3</v>
      </c>
      <c r="Q23" s="12">
        <v>4</v>
      </c>
      <c r="R23" s="12">
        <v>4</v>
      </c>
      <c r="S23" s="12">
        <v>5</v>
      </c>
      <c r="T23" s="12">
        <v>5</v>
      </c>
      <c r="U23" s="12">
        <v>5</v>
      </c>
      <c r="V23" s="12">
        <v>5</v>
      </c>
      <c r="W23" s="12">
        <v>4</v>
      </c>
      <c r="X23" s="12">
        <v>3</v>
      </c>
      <c r="Y23" s="12">
        <v>4</v>
      </c>
      <c r="Z23" s="12">
        <v>3</v>
      </c>
      <c r="AA23" s="12">
        <v>4</v>
      </c>
      <c r="AB23" s="13">
        <f t="shared" si="4"/>
        <v>67</v>
      </c>
      <c r="AC23" s="14"/>
    </row>
    <row r="24" ht="148.5" spans="1:29">
      <c r="A24" s="15"/>
      <c r="B24" s="10" t="s">
        <v>67</v>
      </c>
      <c r="C24" s="11" t="s">
        <v>68</v>
      </c>
      <c r="D24" s="12">
        <v>5</v>
      </c>
      <c r="E24" s="12">
        <v>5</v>
      </c>
      <c r="F24" s="12">
        <v>5</v>
      </c>
      <c r="G24" s="12">
        <v>5</v>
      </c>
      <c r="H24" s="12">
        <v>5</v>
      </c>
      <c r="I24" s="12">
        <v>5</v>
      </c>
      <c r="J24" s="12">
        <v>5</v>
      </c>
      <c r="K24" s="13">
        <f t="shared" si="3"/>
        <v>35</v>
      </c>
      <c r="L24" s="12">
        <v>5</v>
      </c>
      <c r="M24" s="12">
        <v>5</v>
      </c>
      <c r="N24" s="12">
        <v>3</v>
      </c>
      <c r="O24" s="12">
        <v>5</v>
      </c>
      <c r="P24" s="12">
        <v>1</v>
      </c>
      <c r="Q24" s="12">
        <v>4</v>
      </c>
      <c r="R24" s="12">
        <v>4</v>
      </c>
      <c r="S24" s="12">
        <v>5</v>
      </c>
      <c r="T24" s="12">
        <v>5</v>
      </c>
      <c r="U24" s="12">
        <v>5</v>
      </c>
      <c r="V24" s="12">
        <v>5</v>
      </c>
      <c r="W24" s="12">
        <v>2</v>
      </c>
      <c r="X24" s="12">
        <v>2</v>
      </c>
      <c r="Y24" s="12">
        <v>3</v>
      </c>
      <c r="Z24" s="12">
        <v>3</v>
      </c>
      <c r="AA24" s="12">
        <v>3</v>
      </c>
      <c r="AB24" s="13">
        <f t="shared" si="4"/>
        <v>60</v>
      </c>
      <c r="AC24" s="14"/>
    </row>
    <row r="25" ht="121.5" spans="1:29">
      <c r="A25" s="15"/>
      <c r="B25" s="10" t="s">
        <v>69</v>
      </c>
      <c r="C25" s="11" t="s">
        <v>70</v>
      </c>
      <c r="D25" s="12">
        <v>5</v>
      </c>
      <c r="E25" s="12">
        <v>5</v>
      </c>
      <c r="F25" s="12">
        <v>5</v>
      </c>
      <c r="G25" s="12">
        <v>5</v>
      </c>
      <c r="H25" s="12">
        <v>5</v>
      </c>
      <c r="I25" s="12">
        <v>5</v>
      </c>
      <c r="J25" s="12">
        <v>4</v>
      </c>
      <c r="K25" s="13">
        <f t="shared" si="3"/>
        <v>34</v>
      </c>
      <c r="L25" s="12">
        <v>5</v>
      </c>
      <c r="M25" s="12">
        <v>5</v>
      </c>
      <c r="N25" s="12">
        <v>3</v>
      </c>
      <c r="O25" s="12">
        <v>5</v>
      </c>
      <c r="P25" s="12">
        <v>1</v>
      </c>
      <c r="Q25" s="12">
        <v>4</v>
      </c>
      <c r="R25" s="12">
        <v>4</v>
      </c>
      <c r="S25" s="12">
        <v>5</v>
      </c>
      <c r="T25" s="12">
        <v>5</v>
      </c>
      <c r="U25" s="12">
        <v>5</v>
      </c>
      <c r="V25" s="12">
        <v>5</v>
      </c>
      <c r="W25" s="12">
        <v>2</v>
      </c>
      <c r="X25" s="12">
        <v>2</v>
      </c>
      <c r="Y25" s="12">
        <v>3</v>
      </c>
      <c r="Z25" s="12">
        <v>3</v>
      </c>
      <c r="AA25" s="12">
        <v>3</v>
      </c>
      <c r="AB25" s="13">
        <f t="shared" si="4"/>
        <v>60</v>
      </c>
      <c r="AC25" s="14"/>
    </row>
    <row r="26" ht="135" spans="1:29">
      <c r="A26" s="15"/>
      <c r="B26" s="10" t="s">
        <v>71</v>
      </c>
      <c r="C26" s="11" t="s">
        <v>72</v>
      </c>
      <c r="D26" s="12">
        <v>5</v>
      </c>
      <c r="E26" s="12">
        <v>5</v>
      </c>
      <c r="F26" s="12">
        <v>5</v>
      </c>
      <c r="G26" s="12">
        <v>5</v>
      </c>
      <c r="H26" s="12">
        <v>5</v>
      </c>
      <c r="I26" s="12">
        <v>5</v>
      </c>
      <c r="J26" s="12">
        <v>5</v>
      </c>
      <c r="K26" s="13">
        <f t="shared" si="3"/>
        <v>35</v>
      </c>
      <c r="L26" s="12">
        <v>5</v>
      </c>
      <c r="M26" s="12">
        <v>5</v>
      </c>
      <c r="N26" s="12">
        <v>3</v>
      </c>
      <c r="O26" s="12">
        <v>5</v>
      </c>
      <c r="P26" s="12">
        <v>3</v>
      </c>
      <c r="Q26" s="12">
        <v>5</v>
      </c>
      <c r="R26" s="12">
        <v>4</v>
      </c>
      <c r="S26" s="12">
        <v>5</v>
      </c>
      <c r="T26" s="12">
        <v>5</v>
      </c>
      <c r="U26" s="12">
        <v>5</v>
      </c>
      <c r="V26" s="12">
        <v>5</v>
      </c>
      <c r="W26" s="12">
        <v>2</v>
      </c>
      <c r="X26" s="12">
        <v>2</v>
      </c>
      <c r="Y26" s="12">
        <v>4</v>
      </c>
      <c r="Z26" s="12">
        <v>3</v>
      </c>
      <c r="AA26" s="12">
        <v>4</v>
      </c>
      <c r="AB26" s="13">
        <f t="shared" si="4"/>
        <v>65</v>
      </c>
      <c r="AC26" s="14"/>
    </row>
    <row r="27" ht="256.5" spans="1:29">
      <c r="A27" s="15"/>
      <c r="B27" s="10" t="s">
        <v>73</v>
      </c>
      <c r="C27" s="11" t="s">
        <v>74</v>
      </c>
      <c r="D27" s="12">
        <v>5</v>
      </c>
      <c r="E27" s="12">
        <v>5</v>
      </c>
      <c r="F27" s="12">
        <v>5</v>
      </c>
      <c r="G27" s="12">
        <v>5</v>
      </c>
      <c r="H27" s="12">
        <v>5</v>
      </c>
      <c r="I27" s="12">
        <v>5</v>
      </c>
      <c r="J27" s="12">
        <v>4</v>
      </c>
      <c r="K27" s="13">
        <f t="shared" si="3"/>
        <v>34</v>
      </c>
      <c r="L27" s="12">
        <v>5</v>
      </c>
      <c r="M27" s="12">
        <v>5</v>
      </c>
      <c r="N27" s="12">
        <v>3</v>
      </c>
      <c r="O27" s="12">
        <v>5</v>
      </c>
      <c r="P27" s="12">
        <v>2</v>
      </c>
      <c r="Q27" s="12">
        <v>5</v>
      </c>
      <c r="R27" s="12">
        <v>4</v>
      </c>
      <c r="S27" s="12">
        <v>5</v>
      </c>
      <c r="T27" s="12">
        <v>5</v>
      </c>
      <c r="U27" s="12">
        <v>5</v>
      </c>
      <c r="V27" s="12">
        <v>5</v>
      </c>
      <c r="W27" s="12">
        <v>3</v>
      </c>
      <c r="X27" s="12">
        <v>2</v>
      </c>
      <c r="Y27" s="12">
        <v>3</v>
      </c>
      <c r="Z27" s="12">
        <v>3</v>
      </c>
      <c r="AA27" s="12">
        <v>3</v>
      </c>
      <c r="AB27" s="13">
        <f t="shared" si="4"/>
        <v>63</v>
      </c>
      <c r="AC27" s="14"/>
    </row>
    <row r="28" ht="287" customHeight="1" spans="1:29">
      <c r="A28" s="15"/>
      <c r="B28" s="10" t="s">
        <v>75</v>
      </c>
      <c r="C28" s="11" t="s">
        <v>76</v>
      </c>
      <c r="D28" s="12">
        <v>5</v>
      </c>
      <c r="E28" s="12">
        <v>5</v>
      </c>
      <c r="F28" s="12">
        <v>5</v>
      </c>
      <c r="G28" s="12">
        <v>5</v>
      </c>
      <c r="H28" s="12">
        <v>5</v>
      </c>
      <c r="I28" s="12">
        <v>5</v>
      </c>
      <c r="J28" s="12">
        <v>4</v>
      </c>
      <c r="K28" s="13">
        <f t="shared" si="3"/>
        <v>34</v>
      </c>
      <c r="L28" s="12">
        <v>5</v>
      </c>
      <c r="M28" s="12">
        <v>5</v>
      </c>
      <c r="N28" s="12">
        <v>3</v>
      </c>
      <c r="O28" s="12">
        <v>5</v>
      </c>
      <c r="P28" s="12">
        <v>3</v>
      </c>
      <c r="Q28" s="12">
        <v>5</v>
      </c>
      <c r="R28" s="12">
        <v>4</v>
      </c>
      <c r="S28" s="12">
        <v>5</v>
      </c>
      <c r="T28" s="12">
        <v>5</v>
      </c>
      <c r="U28" s="12">
        <v>5</v>
      </c>
      <c r="V28" s="12">
        <v>5</v>
      </c>
      <c r="W28" s="12">
        <v>3</v>
      </c>
      <c r="X28" s="12">
        <v>3</v>
      </c>
      <c r="Y28" s="12">
        <v>4</v>
      </c>
      <c r="Z28" s="12">
        <v>3</v>
      </c>
      <c r="AA28" s="12">
        <v>4</v>
      </c>
      <c r="AB28" s="13">
        <f t="shared" si="4"/>
        <v>67</v>
      </c>
      <c r="AC28" s="14"/>
    </row>
    <row r="29" ht="180" customHeight="1" spans="1:29">
      <c r="A29" s="15"/>
      <c r="B29" s="10" t="s">
        <v>77</v>
      </c>
      <c r="C29" s="11" t="s">
        <v>78</v>
      </c>
      <c r="D29" s="12">
        <v>5</v>
      </c>
      <c r="E29" s="12">
        <v>5</v>
      </c>
      <c r="F29" s="12">
        <v>5</v>
      </c>
      <c r="G29" s="12">
        <v>5</v>
      </c>
      <c r="H29" s="12">
        <v>5</v>
      </c>
      <c r="I29" s="12">
        <v>5</v>
      </c>
      <c r="J29" s="12">
        <v>5</v>
      </c>
      <c r="K29" s="13">
        <f t="shared" si="3"/>
        <v>35</v>
      </c>
      <c r="L29" s="12">
        <v>5</v>
      </c>
      <c r="M29" s="12">
        <v>5</v>
      </c>
      <c r="N29" s="12">
        <v>2</v>
      </c>
      <c r="O29" s="12">
        <v>5</v>
      </c>
      <c r="P29" s="12">
        <v>1</v>
      </c>
      <c r="Q29" s="12">
        <v>5</v>
      </c>
      <c r="R29" s="12">
        <v>4</v>
      </c>
      <c r="S29" s="12">
        <v>5</v>
      </c>
      <c r="T29" s="12">
        <v>5</v>
      </c>
      <c r="U29" s="12">
        <v>5</v>
      </c>
      <c r="V29" s="12">
        <v>5</v>
      </c>
      <c r="W29" s="12">
        <v>4</v>
      </c>
      <c r="X29" s="12">
        <v>2</v>
      </c>
      <c r="Y29" s="12">
        <v>3</v>
      </c>
      <c r="Z29" s="12">
        <v>3</v>
      </c>
      <c r="AA29" s="12">
        <v>3</v>
      </c>
      <c r="AB29" s="13">
        <f t="shared" si="4"/>
        <v>62</v>
      </c>
      <c r="AC29" s="14"/>
    </row>
    <row r="30" spans="1:29">
      <c r="D30">
        <f>AVERAGE(D12:D29)</f>
        <v>4.83333333333333</v>
      </c>
      <c r="E30">
        <f t="shared" ref="E30:AB30" si="5">AVERAGE(E12:E29)</f>
        <v>4.94444444444444</v>
      </c>
      <c r="F30">
        <f t="shared" si="5"/>
        <v>4.94444444444444</v>
      </c>
      <c r="G30">
        <f t="shared" si="5"/>
        <v>5</v>
      </c>
      <c r="H30">
        <f t="shared" si="5"/>
        <v>4.88888888888889</v>
      </c>
      <c r="I30">
        <f t="shared" si="5"/>
        <v>5</v>
      </c>
      <c r="J30">
        <f t="shared" si="5"/>
        <v>4.83333333333333</v>
      </c>
      <c r="K30">
        <f t="shared" si="5"/>
        <v>34.4444444444444</v>
      </c>
      <c r="L30">
        <f t="shared" si="5"/>
        <v>4.94444444444444</v>
      </c>
      <c r="M30">
        <f t="shared" si="5"/>
        <v>5</v>
      </c>
      <c r="N30">
        <f t="shared" si="5"/>
        <v>2.94444444444444</v>
      </c>
      <c r="O30">
        <f t="shared" si="5"/>
        <v>5</v>
      </c>
      <c r="P30">
        <f t="shared" si="5"/>
        <v>1.94444444444444</v>
      </c>
      <c r="Q30">
        <f t="shared" si="5"/>
        <v>4.16666666666667</v>
      </c>
      <c r="R30">
        <f t="shared" si="5"/>
        <v>3.83333333333333</v>
      </c>
      <c r="S30">
        <f t="shared" si="5"/>
        <v>5</v>
      </c>
      <c r="T30">
        <f t="shared" si="5"/>
        <v>4.88888888888889</v>
      </c>
      <c r="U30">
        <f t="shared" si="5"/>
        <v>5</v>
      </c>
      <c r="V30">
        <f t="shared" si="5"/>
        <v>5</v>
      </c>
      <c r="W30">
        <f t="shared" si="5"/>
        <v>3.11111111111111</v>
      </c>
      <c r="X30">
        <f t="shared" si="5"/>
        <v>2.22222222222222</v>
      </c>
      <c r="Y30">
        <f t="shared" si="5"/>
        <v>3.38888888888889</v>
      </c>
      <c r="Z30">
        <f t="shared" si="5"/>
        <v>3</v>
      </c>
      <c r="AA30">
        <f t="shared" si="5"/>
        <v>3.38888888888889</v>
      </c>
      <c r="AB30">
        <f t="shared" si="5"/>
        <v>62.8333333333333</v>
      </c>
    </row>
    <row r="32" ht="297" spans="1:29">
      <c r="A32" s="9" t="s">
        <v>290</v>
      </c>
      <c r="B32" s="10" t="s">
        <v>80</v>
      </c>
      <c r="C32" s="11" t="s">
        <v>81</v>
      </c>
      <c r="D32" s="12">
        <v>5</v>
      </c>
      <c r="E32" s="12">
        <v>5</v>
      </c>
      <c r="F32" s="12">
        <v>5</v>
      </c>
      <c r="G32" s="12">
        <v>5</v>
      </c>
      <c r="H32" s="12">
        <v>5</v>
      </c>
      <c r="I32" s="12">
        <v>5</v>
      </c>
      <c r="J32" s="12">
        <v>5</v>
      </c>
      <c r="K32" s="13">
        <f t="shared" ref="K32:K45" si="6">SUM(D32:J32)</f>
        <v>35</v>
      </c>
      <c r="L32" s="12">
        <v>5</v>
      </c>
      <c r="M32" s="12">
        <v>5</v>
      </c>
      <c r="N32" s="12">
        <v>2</v>
      </c>
      <c r="O32" s="12">
        <v>5</v>
      </c>
      <c r="P32" s="12">
        <v>2</v>
      </c>
      <c r="Q32" s="12">
        <v>5</v>
      </c>
      <c r="R32" s="12">
        <v>4</v>
      </c>
      <c r="S32" s="12">
        <v>5</v>
      </c>
      <c r="T32" s="12">
        <v>5</v>
      </c>
      <c r="U32" s="12">
        <v>5</v>
      </c>
      <c r="V32" s="12">
        <v>5</v>
      </c>
      <c r="W32" s="12">
        <v>4</v>
      </c>
      <c r="X32" s="12">
        <v>3</v>
      </c>
      <c r="Y32" s="12">
        <v>4</v>
      </c>
      <c r="Z32" s="12">
        <v>3</v>
      </c>
      <c r="AA32" s="12">
        <v>4</v>
      </c>
      <c r="AB32" s="13">
        <f t="shared" ref="AB32:AB45" si="7">SUM(L32:AA32)</f>
        <v>66</v>
      </c>
      <c r="AC32" s="14"/>
    </row>
    <row r="33" ht="148.5" spans="1:29">
      <c r="A33" s="15"/>
      <c r="B33" s="10" t="s">
        <v>82</v>
      </c>
      <c r="C33" s="11" t="s">
        <v>83</v>
      </c>
      <c r="D33" s="12">
        <v>5</v>
      </c>
      <c r="E33" s="12">
        <v>5</v>
      </c>
      <c r="F33" s="12">
        <v>5</v>
      </c>
      <c r="G33" s="12">
        <v>5</v>
      </c>
      <c r="H33" s="12">
        <v>5</v>
      </c>
      <c r="I33" s="12">
        <v>5</v>
      </c>
      <c r="J33" s="12">
        <v>4</v>
      </c>
      <c r="K33" s="13">
        <f t="shared" si="6"/>
        <v>34</v>
      </c>
      <c r="L33" s="12">
        <v>5</v>
      </c>
      <c r="M33" s="12">
        <v>5</v>
      </c>
      <c r="N33" s="12">
        <v>3</v>
      </c>
      <c r="O33" s="12">
        <v>5</v>
      </c>
      <c r="P33" s="12">
        <v>3</v>
      </c>
      <c r="Q33" s="12">
        <v>5</v>
      </c>
      <c r="R33" s="12">
        <v>4</v>
      </c>
      <c r="S33" s="12">
        <v>5</v>
      </c>
      <c r="T33" s="12">
        <v>5</v>
      </c>
      <c r="U33" s="12">
        <v>5</v>
      </c>
      <c r="V33" s="12">
        <v>5</v>
      </c>
      <c r="W33" s="12">
        <v>4</v>
      </c>
      <c r="X33" s="12">
        <v>3</v>
      </c>
      <c r="Y33" s="12">
        <v>4</v>
      </c>
      <c r="Z33" s="12">
        <v>3</v>
      </c>
      <c r="AA33" s="12">
        <v>4</v>
      </c>
      <c r="AB33" s="13">
        <f t="shared" si="7"/>
        <v>68</v>
      </c>
      <c r="AC33" s="14"/>
    </row>
    <row r="34" ht="189" spans="1:29">
      <c r="A34" s="15"/>
      <c r="B34" s="10" t="s">
        <v>84</v>
      </c>
      <c r="C34" s="11" t="s">
        <v>85</v>
      </c>
      <c r="D34" s="12">
        <v>5</v>
      </c>
      <c r="E34" s="12">
        <v>5</v>
      </c>
      <c r="F34" s="12">
        <v>5</v>
      </c>
      <c r="G34" s="12">
        <v>5</v>
      </c>
      <c r="H34" s="12">
        <v>5</v>
      </c>
      <c r="I34" s="12">
        <v>5</v>
      </c>
      <c r="J34" s="12">
        <v>5</v>
      </c>
      <c r="K34" s="13">
        <f t="shared" si="6"/>
        <v>35</v>
      </c>
      <c r="L34" s="12">
        <v>5</v>
      </c>
      <c r="M34" s="12">
        <v>5</v>
      </c>
      <c r="N34" s="12">
        <v>3</v>
      </c>
      <c r="O34" s="12">
        <v>5</v>
      </c>
      <c r="P34" s="12">
        <v>3</v>
      </c>
      <c r="Q34" s="12">
        <v>5</v>
      </c>
      <c r="R34" s="12">
        <v>4</v>
      </c>
      <c r="S34" s="12">
        <v>5</v>
      </c>
      <c r="T34" s="12">
        <v>5</v>
      </c>
      <c r="U34" s="12">
        <v>5</v>
      </c>
      <c r="V34" s="12">
        <v>5</v>
      </c>
      <c r="W34" s="12">
        <v>4</v>
      </c>
      <c r="X34" s="12">
        <v>3</v>
      </c>
      <c r="Y34" s="12">
        <v>4</v>
      </c>
      <c r="Z34" s="12">
        <v>3</v>
      </c>
      <c r="AA34" s="12">
        <v>4</v>
      </c>
      <c r="AB34" s="13">
        <f t="shared" si="7"/>
        <v>68</v>
      </c>
      <c r="AC34" s="14"/>
    </row>
    <row r="35" ht="202.5" spans="1:29">
      <c r="A35" s="15"/>
      <c r="B35" s="10" t="s">
        <v>86</v>
      </c>
      <c r="C35" s="11" t="s">
        <v>87</v>
      </c>
      <c r="D35" s="12">
        <v>5</v>
      </c>
      <c r="E35" s="12">
        <v>5</v>
      </c>
      <c r="F35" s="12">
        <v>5</v>
      </c>
      <c r="G35" s="12">
        <v>5</v>
      </c>
      <c r="H35" s="12">
        <v>5</v>
      </c>
      <c r="I35" s="12">
        <v>5</v>
      </c>
      <c r="J35" s="12">
        <v>4</v>
      </c>
      <c r="K35" s="13">
        <f t="shared" si="6"/>
        <v>34</v>
      </c>
      <c r="L35" s="12">
        <v>5</v>
      </c>
      <c r="M35" s="12">
        <v>5</v>
      </c>
      <c r="N35" s="12">
        <v>3</v>
      </c>
      <c r="O35" s="12">
        <v>5</v>
      </c>
      <c r="P35" s="12">
        <v>3</v>
      </c>
      <c r="Q35" s="12">
        <v>5</v>
      </c>
      <c r="R35" s="12">
        <v>4</v>
      </c>
      <c r="S35" s="12">
        <v>5</v>
      </c>
      <c r="T35" s="12">
        <v>5</v>
      </c>
      <c r="U35" s="12">
        <v>5</v>
      </c>
      <c r="V35" s="12">
        <v>5</v>
      </c>
      <c r="W35" s="12">
        <v>3</v>
      </c>
      <c r="X35" s="12">
        <v>3</v>
      </c>
      <c r="Y35" s="12">
        <v>4</v>
      </c>
      <c r="Z35" s="12">
        <v>3</v>
      </c>
      <c r="AA35" s="12">
        <v>4</v>
      </c>
      <c r="AB35" s="13">
        <f t="shared" si="7"/>
        <v>67</v>
      </c>
      <c r="AC35" s="13"/>
    </row>
    <row r="36" ht="229.5" spans="1:29">
      <c r="A36" s="15"/>
      <c r="B36" s="10" t="s">
        <v>88</v>
      </c>
      <c r="C36" s="11" t="s">
        <v>89</v>
      </c>
      <c r="D36" s="12">
        <v>5</v>
      </c>
      <c r="E36" s="12">
        <v>5</v>
      </c>
      <c r="F36" s="12">
        <v>5</v>
      </c>
      <c r="G36" s="12">
        <v>5</v>
      </c>
      <c r="H36" s="12">
        <v>5</v>
      </c>
      <c r="I36" s="12">
        <v>5</v>
      </c>
      <c r="J36" s="12">
        <v>5</v>
      </c>
      <c r="K36" s="13">
        <f t="shared" si="6"/>
        <v>35</v>
      </c>
      <c r="L36" s="12">
        <v>5</v>
      </c>
      <c r="M36" s="12">
        <v>5</v>
      </c>
      <c r="N36" s="12">
        <v>2</v>
      </c>
      <c r="O36" s="12">
        <v>5</v>
      </c>
      <c r="P36" s="12">
        <v>2</v>
      </c>
      <c r="Q36" s="12">
        <v>5</v>
      </c>
      <c r="R36" s="12">
        <v>4</v>
      </c>
      <c r="S36" s="12">
        <v>5</v>
      </c>
      <c r="T36" s="12">
        <v>5</v>
      </c>
      <c r="U36" s="12">
        <v>5</v>
      </c>
      <c r="V36" s="12">
        <v>5</v>
      </c>
      <c r="W36" s="12">
        <v>3</v>
      </c>
      <c r="X36" s="12">
        <v>3</v>
      </c>
      <c r="Y36" s="12">
        <v>4</v>
      </c>
      <c r="Z36" s="12">
        <v>3</v>
      </c>
      <c r="AA36" s="12">
        <v>4</v>
      </c>
      <c r="AB36" s="13">
        <f t="shared" si="7"/>
        <v>65</v>
      </c>
      <c r="AC36" s="14"/>
    </row>
    <row r="37" ht="229.5" spans="1:29">
      <c r="A37" s="15"/>
      <c r="B37" s="10" t="s">
        <v>90</v>
      </c>
      <c r="C37" s="11" t="s">
        <v>91</v>
      </c>
      <c r="D37" s="12">
        <v>5</v>
      </c>
      <c r="E37" s="12">
        <v>5</v>
      </c>
      <c r="F37" s="12">
        <v>5</v>
      </c>
      <c r="G37" s="12">
        <v>5</v>
      </c>
      <c r="H37" s="12">
        <v>5</v>
      </c>
      <c r="I37" s="12">
        <v>5</v>
      </c>
      <c r="J37" s="12">
        <v>5</v>
      </c>
      <c r="K37" s="13">
        <f t="shared" si="6"/>
        <v>35</v>
      </c>
      <c r="L37" s="12">
        <v>5</v>
      </c>
      <c r="M37" s="12">
        <v>5</v>
      </c>
      <c r="N37" s="12">
        <v>2</v>
      </c>
      <c r="O37" s="12">
        <v>5</v>
      </c>
      <c r="P37" s="12">
        <v>3</v>
      </c>
      <c r="Q37" s="12">
        <v>5</v>
      </c>
      <c r="R37" s="12">
        <v>4</v>
      </c>
      <c r="S37" s="12">
        <v>5</v>
      </c>
      <c r="T37" s="12">
        <v>5</v>
      </c>
      <c r="U37" s="12">
        <v>5</v>
      </c>
      <c r="V37" s="12">
        <v>5</v>
      </c>
      <c r="W37" s="12">
        <v>2</v>
      </c>
      <c r="X37" s="12">
        <v>3</v>
      </c>
      <c r="Y37" s="12">
        <v>4</v>
      </c>
      <c r="Z37" s="12">
        <v>3</v>
      </c>
      <c r="AA37" s="12">
        <v>4</v>
      </c>
      <c r="AB37" s="13">
        <f t="shared" si="7"/>
        <v>65</v>
      </c>
      <c r="AC37" s="14"/>
    </row>
    <row r="38" ht="243" spans="1:29">
      <c r="A38" s="15"/>
      <c r="B38" s="10" t="s">
        <v>92</v>
      </c>
      <c r="C38" s="11" t="s">
        <v>93</v>
      </c>
      <c r="D38" s="12">
        <v>5</v>
      </c>
      <c r="E38" s="12">
        <v>5</v>
      </c>
      <c r="F38" s="12">
        <v>5</v>
      </c>
      <c r="G38" s="12">
        <v>5</v>
      </c>
      <c r="H38" s="12">
        <v>5</v>
      </c>
      <c r="I38" s="12">
        <v>5</v>
      </c>
      <c r="J38" s="12">
        <v>5</v>
      </c>
      <c r="K38" s="13">
        <f t="shared" si="6"/>
        <v>35</v>
      </c>
      <c r="L38" s="12">
        <v>5</v>
      </c>
      <c r="M38" s="12">
        <v>5</v>
      </c>
      <c r="N38" s="12">
        <v>2</v>
      </c>
      <c r="O38" s="12">
        <v>5</v>
      </c>
      <c r="P38" s="12">
        <v>3</v>
      </c>
      <c r="Q38" s="12">
        <v>5</v>
      </c>
      <c r="R38" s="12">
        <v>4</v>
      </c>
      <c r="S38" s="12">
        <v>5</v>
      </c>
      <c r="T38" s="12">
        <v>5</v>
      </c>
      <c r="U38" s="12">
        <v>5</v>
      </c>
      <c r="V38" s="12">
        <v>5</v>
      </c>
      <c r="W38" s="12">
        <v>2</v>
      </c>
      <c r="X38" s="12">
        <v>3</v>
      </c>
      <c r="Y38" s="12">
        <v>4</v>
      </c>
      <c r="Z38" s="12">
        <v>3</v>
      </c>
      <c r="AA38" s="12">
        <v>4</v>
      </c>
      <c r="AB38" s="13">
        <f t="shared" si="7"/>
        <v>65</v>
      </c>
      <c r="AC38" s="14"/>
    </row>
    <row r="39" ht="216" spans="1:29">
      <c r="A39" s="15"/>
      <c r="B39" s="10" t="s">
        <v>94</v>
      </c>
      <c r="C39" s="11" t="s">
        <v>95</v>
      </c>
      <c r="D39" s="12">
        <v>5</v>
      </c>
      <c r="E39" s="12">
        <v>5</v>
      </c>
      <c r="F39" s="12">
        <v>5</v>
      </c>
      <c r="G39" s="12">
        <v>5</v>
      </c>
      <c r="H39" s="12">
        <v>5</v>
      </c>
      <c r="I39" s="12">
        <v>5</v>
      </c>
      <c r="J39" s="12">
        <v>5</v>
      </c>
      <c r="K39" s="13">
        <f t="shared" si="6"/>
        <v>35</v>
      </c>
      <c r="L39" s="12">
        <v>5</v>
      </c>
      <c r="M39" s="12">
        <v>5</v>
      </c>
      <c r="N39" s="12">
        <v>2</v>
      </c>
      <c r="O39" s="12">
        <v>5</v>
      </c>
      <c r="P39" s="12">
        <v>3</v>
      </c>
      <c r="Q39" s="12">
        <v>5</v>
      </c>
      <c r="R39" s="12">
        <v>4</v>
      </c>
      <c r="S39" s="12">
        <v>5</v>
      </c>
      <c r="T39" s="12">
        <v>5</v>
      </c>
      <c r="U39" s="12">
        <v>5</v>
      </c>
      <c r="V39" s="12">
        <v>5</v>
      </c>
      <c r="W39" s="12">
        <v>2</v>
      </c>
      <c r="X39" s="12">
        <v>2</v>
      </c>
      <c r="Y39" s="12">
        <v>4</v>
      </c>
      <c r="Z39" s="12">
        <v>3</v>
      </c>
      <c r="AA39" s="12">
        <v>4</v>
      </c>
      <c r="AB39" s="13">
        <f t="shared" si="7"/>
        <v>64</v>
      </c>
      <c r="AC39" s="14"/>
    </row>
    <row r="40" ht="378" customHeight="1" spans="1:29">
      <c r="A40" s="15"/>
      <c r="B40" s="10" t="s">
        <v>96</v>
      </c>
      <c r="C40" s="11" t="s">
        <v>97</v>
      </c>
      <c r="D40" s="12">
        <v>5</v>
      </c>
      <c r="E40" s="12">
        <v>5</v>
      </c>
      <c r="F40" s="12">
        <v>5</v>
      </c>
      <c r="G40" s="12">
        <v>5</v>
      </c>
      <c r="H40" s="12">
        <v>5</v>
      </c>
      <c r="I40" s="12">
        <v>5</v>
      </c>
      <c r="J40" s="12">
        <v>5</v>
      </c>
      <c r="K40" s="13">
        <f t="shared" si="6"/>
        <v>35</v>
      </c>
      <c r="L40" s="12">
        <v>5</v>
      </c>
      <c r="M40" s="12">
        <v>5</v>
      </c>
      <c r="N40" s="12">
        <v>2</v>
      </c>
      <c r="O40" s="12">
        <v>5</v>
      </c>
      <c r="P40" s="12">
        <v>3</v>
      </c>
      <c r="Q40" s="12">
        <v>5</v>
      </c>
      <c r="R40" s="12">
        <v>4</v>
      </c>
      <c r="S40" s="12">
        <v>5</v>
      </c>
      <c r="T40" s="12">
        <v>5</v>
      </c>
      <c r="U40" s="12">
        <v>5</v>
      </c>
      <c r="V40" s="12">
        <v>5</v>
      </c>
      <c r="W40" s="12">
        <v>2</v>
      </c>
      <c r="X40" s="12">
        <v>2</v>
      </c>
      <c r="Y40" s="12">
        <v>4</v>
      </c>
      <c r="Z40" s="12">
        <v>3</v>
      </c>
      <c r="AA40" s="12">
        <v>4</v>
      </c>
      <c r="AB40" s="13">
        <f t="shared" si="7"/>
        <v>64</v>
      </c>
      <c r="AC40" s="14"/>
    </row>
    <row r="41" ht="229.5" spans="1:29">
      <c r="A41" s="15"/>
      <c r="B41" s="10" t="s">
        <v>98</v>
      </c>
      <c r="C41" s="11" t="s">
        <v>99</v>
      </c>
      <c r="D41" s="12">
        <v>5</v>
      </c>
      <c r="E41" s="12">
        <v>5</v>
      </c>
      <c r="F41" s="12">
        <v>5</v>
      </c>
      <c r="G41" s="12">
        <v>5</v>
      </c>
      <c r="H41" s="12">
        <v>5</v>
      </c>
      <c r="I41" s="12">
        <v>5</v>
      </c>
      <c r="J41" s="12">
        <v>5</v>
      </c>
      <c r="K41" s="13">
        <f t="shared" si="6"/>
        <v>35</v>
      </c>
      <c r="L41" s="12">
        <v>5</v>
      </c>
      <c r="M41" s="12">
        <v>5</v>
      </c>
      <c r="N41" s="12">
        <v>2</v>
      </c>
      <c r="O41" s="12">
        <v>5</v>
      </c>
      <c r="P41" s="12">
        <v>3</v>
      </c>
      <c r="Q41" s="12">
        <v>5</v>
      </c>
      <c r="R41" s="12">
        <v>4</v>
      </c>
      <c r="S41" s="12">
        <v>5</v>
      </c>
      <c r="T41" s="12">
        <v>5</v>
      </c>
      <c r="U41" s="12">
        <v>5</v>
      </c>
      <c r="V41" s="12">
        <v>5</v>
      </c>
      <c r="W41" s="12">
        <v>2</v>
      </c>
      <c r="X41" s="12">
        <v>3</v>
      </c>
      <c r="Y41" s="12">
        <v>4</v>
      </c>
      <c r="Z41" s="12">
        <v>3</v>
      </c>
      <c r="AA41" s="12">
        <v>4</v>
      </c>
      <c r="AB41" s="13">
        <f t="shared" si="7"/>
        <v>65</v>
      </c>
      <c r="AC41" s="14"/>
    </row>
    <row r="42" ht="189" spans="1:29">
      <c r="A42" s="15"/>
      <c r="B42" s="10" t="s">
        <v>100</v>
      </c>
      <c r="C42" s="11" t="s">
        <v>101</v>
      </c>
      <c r="D42" s="12">
        <v>5</v>
      </c>
      <c r="E42" s="12">
        <v>5</v>
      </c>
      <c r="F42" s="12">
        <v>5</v>
      </c>
      <c r="G42" s="12">
        <v>5</v>
      </c>
      <c r="H42" s="12">
        <v>5</v>
      </c>
      <c r="I42" s="12">
        <v>5</v>
      </c>
      <c r="J42" s="12">
        <v>5</v>
      </c>
      <c r="K42" s="13">
        <f t="shared" si="6"/>
        <v>35</v>
      </c>
      <c r="L42" s="12">
        <v>5</v>
      </c>
      <c r="M42" s="12">
        <v>5</v>
      </c>
      <c r="N42" s="12">
        <v>3</v>
      </c>
      <c r="O42" s="12">
        <v>5</v>
      </c>
      <c r="P42" s="12">
        <v>3</v>
      </c>
      <c r="Q42" s="12">
        <v>5</v>
      </c>
      <c r="R42" s="12">
        <v>4</v>
      </c>
      <c r="S42" s="12">
        <v>5</v>
      </c>
      <c r="T42" s="12">
        <v>5</v>
      </c>
      <c r="U42" s="12">
        <v>5</v>
      </c>
      <c r="V42" s="12">
        <v>5</v>
      </c>
      <c r="W42" s="12">
        <v>4</v>
      </c>
      <c r="X42" s="12">
        <v>3</v>
      </c>
      <c r="Y42" s="12">
        <v>4</v>
      </c>
      <c r="Z42" s="12">
        <v>3</v>
      </c>
      <c r="AA42" s="12">
        <v>4</v>
      </c>
      <c r="AB42" s="13">
        <f t="shared" si="7"/>
        <v>68</v>
      </c>
      <c r="AC42" s="14"/>
    </row>
    <row r="43" ht="242" customHeight="1" spans="1:29">
      <c r="A43" s="15"/>
      <c r="B43" s="10" t="s">
        <v>102</v>
      </c>
      <c r="C43" s="11" t="s">
        <v>103</v>
      </c>
      <c r="D43" s="12">
        <v>5</v>
      </c>
      <c r="E43" s="12">
        <v>5</v>
      </c>
      <c r="F43" s="12">
        <v>5</v>
      </c>
      <c r="G43" s="12">
        <v>5</v>
      </c>
      <c r="H43" s="12">
        <v>5</v>
      </c>
      <c r="I43" s="12">
        <v>5</v>
      </c>
      <c r="J43" s="12">
        <v>5</v>
      </c>
      <c r="K43" s="13">
        <f t="shared" si="6"/>
        <v>35</v>
      </c>
      <c r="L43" s="12">
        <v>5</v>
      </c>
      <c r="M43" s="12">
        <v>5</v>
      </c>
      <c r="N43" s="12">
        <v>3</v>
      </c>
      <c r="O43" s="12">
        <v>5</v>
      </c>
      <c r="P43" s="12">
        <v>3</v>
      </c>
      <c r="Q43" s="12">
        <v>5</v>
      </c>
      <c r="R43" s="12">
        <v>4</v>
      </c>
      <c r="S43" s="12">
        <v>5</v>
      </c>
      <c r="T43" s="12">
        <v>5</v>
      </c>
      <c r="U43" s="12">
        <v>5</v>
      </c>
      <c r="V43" s="12">
        <v>5</v>
      </c>
      <c r="W43" s="12">
        <v>4</v>
      </c>
      <c r="X43" s="12">
        <v>3</v>
      </c>
      <c r="Y43" s="12">
        <v>4</v>
      </c>
      <c r="Z43" s="12">
        <v>3</v>
      </c>
      <c r="AA43" s="12">
        <v>5</v>
      </c>
      <c r="AB43" s="13">
        <f t="shared" si="7"/>
        <v>69</v>
      </c>
      <c r="AC43" s="14"/>
    </row>
    <row r="44" ht="203" customHeight="1" spans="1:29">
      <c r="A44" s="15"/>
      <c r="B44" s="10" t="s">
        <v>104</v>
      </c>
      <c r="C44" s="11" t="s">
        <v>105</v>
      </c>
      <c r="D44" s="12">
        <v>5</v>
      </c>
      <c r="E44" s="12">
        <v>5</v>
      </c>
      <c r="F44" s="12">
        <v>5</v>
      </c>
      <c r="G44" s="12">
        <v>5</v>
      </c>
      <c r="H44" s="12">
        <v>5</v>
      </c>
      <c r="I44" s="12">
        <v>5</v>
      </c>
      <c r="J44" s="12">
        <v>5</v>
      </c>
      <c r="K44" s="13">
        <f t="shared" si="6"/>
        <v>35</v>
      </c>
      <c r="L44" s="12">
        <v>5</v>
      </c>
      <c r="M44" s="12">
        <v>5</v>
      </c>
      <c r="N44" s="12">
        <v>3</v>
      </c>
      <c r="O44" s="12">
        <v>5</v>
      </c>
      <c r="P44" s="12">
        <v>3</v>
      </c>
      <c r="Q44" s="12">
        <v>5</v>
      </c>
      <c r="R44" s="12">
        <v>4</v>
      </c>
      <c r="S44" s="12">
        <v>5</v>
      </c>
      <c r="T44" s="12">
        <v>5</v>
      </c>
      <c r="U44" s="12">
        <v>5</v>
      </c>
      <c r="V44" s="12">
        <v>5</v>
      </c>
      <c r="W44" s="12">
        <v>4</v>
      </c>
      <c r="X44" s="12">
        <v>3</v>
      </c>
      <c r="Y44" s="12">
        <v>4</v>
      </c>
      <c r="Z44" s="12">
        <v>3</v>
      </c>
      <c r="AA44" s="12">
        <v>4</v>
      </c>
      <c r="AB44" s="13">
        <f t="shared" si="7"/>
        <v>68</v>
      </c>
      <c r="AC44" s="14"/>
    </row>
    <row r="45" ht="176" customHeight="1" spans="1:29">
      <c r="A45" s="15"/>
      <c r="B45" s="10" t="s">
        <v>106</v>
      </c>
      <c r="C45" s="11" t="s">
        <v>107</v>
      </c>
      <c r="D45" s="12">
        <v>5</v>
      </c>
      <c r="E45" s="12">
        <v>5</v>
      </c>
      <c r="F45" s="12">
        <v>5</v>
      </c>
      <c r="G45" s="12">
        <v>5</v>
      </c>
      <c r="H45" s="12">
        <v>5</v>
      </c>
      <c r="I45" s="12">
        <v>5</v>
      </c>
      <c r="J45" s="12">
        <v>5</v>
      </c>
      <c r="K45" s="13">
        <f t="shared" si="6"/>
        <v>35</v>
      </c>
      <c r="L45" s="12">
        <v>5</v>
      </c>
      <c r="M45" s="12">
        <v>5</v>
      </c>
      <c r="N45" s="12">
        <v>3</v>
      </c>
      <c r="O45" s="12">
        <v>5</v>
      </c>
      <c r="P45" s="12">
        <v>3</v>
      </c>
      <c r="Q45" s="12">
        <v>5</v>
      </c>
      <c r="R45" s="12">
        <v>4</v>
      </c>
      <c r="S45" s="12">
        <v>5</v>
      </c>
      <c r="T45" s="12">
        <v>5</v>
      </c>
      <c r="U45" s="12">
        <v>5</v>
      </c>
      <c r="V45" s="12">
        <v>5</v>
      </c>
      <c r="W45" s="12">
        <v>4</v>
      </c>
      <c r="X45" s="12">
        <v>3</v>
      </c>
      <c r="Y45" s="12">
        <v>4</v>
      </c>
      <c r="Z45" s="12">
        <v>3</v>
      </c>
      <c r="AA45" s="12">
        <v>4</v>
      </c>
      <c r="AB45" s="13">
        <f t="shared" si="7"/>
        <v>68</v>
      </c>
      <c r="AC45" s="14"/>
    </row>
    <row r="46" spans="1:29">
      <c r="D46">
        <f>AVERAGE(D32:D45)</f>
        <v>5</v>
      </c>
      <c r="E46">
        <f t="shared" ref="E46:AB46" si="8">AVERAGE(E32:E45)</f>
        <v>5</v>
      </c>
      <c r="F46">
        <f t="shared" si="8"/>
        <v>5</v>
      </c>
      <c r="G46">
        <f t="shared" si="8"/>
        <v>5</v>
      </c>
      <c r="H46">
        <f t="shared" si="8"/>
        <v>5</v>
      </c>
      <c r="I46">
        <f t="shared" si="8"/>
        <v>5</v>
      </c>
      <c r="J46">
        <f t="shared" si="8"/>
        <v>4.85714285714286</v>
      </c>
      <c r="K46">
        <f t="shared" si="8"/>
        <v>34.8571428571429</v>
      </c>
      <c r="L46">
        <f t="shared" si="8"/>
        <v>5</v>
      </c>
      <c r="M46">
        <f t="shared" si="8"/>
        <v>5</v>
      </c>
      <c r="N46">
        <f t="shared" si="8"/>
        <v>2.5</v>
      </c>
      <c r="O46">
        <f t="shared" si="8"/>
        <v>5</v>
      </c>
      <c r="P46">
        <f t="shared" si="8"/>
        <v>2.85714285714286</v>
      </c>
      <c r="Q46">
        <f t="shared" si="8"/>
        <v>5</v>
      </c>
      <c r="R46">
        <f t="shared" si="8"/>
        <v>4</v>
      </c>
      <c r="S46">
        <f t="shared" si="8"/>
        <v>5</v>
      </c>
      <c r="T46">
        <f t="shared" si="8"/>
        <v>5</v>
      </c>
      <c r="U46">
        <f t="shared" si="8"/>
        <v>5</v>
      </c>
      <c r="V46">
        <f t="shared" si="8"/>
        <v>5</v>
      </c>
      <c r="W46">
        <f t="shared" si="8"/>
        <v>3.14285714285714</v>
      </c>
      <c r="X46">
        <f t="shared" si="8"/>
        <v>2.85714285714286</v>
      </c>
      <c r="Y46">
        <f t="shared" si="8"/>
        <v>4</v>
      </c>
      <c r="Z46">
        <f t="shared" si="8"/>
        <v>3</v>
      </c>
      <c r="AA46">
        <f t="shared" si="8"/>
        <v>4.07142857142857</v>
      </c>
      <c r="AB46">
        <f t="shared" si="8"/>
        <v>66.4285714285714</v>
      </c>
    </row>
    <row r="48" ht="162" spans="1:29">
      <c r="A48" s="15" t="s">
        <v>108</v>
      </c>
      <c r="B48" s="10" t="s">
        <v>109</v>
      </c>
      <c r="C48" s="11" t="s">
        <v>110</v>
      </c>
      <c r="D48" s="12">
        <v>5</v>
      </c>
      <c r="E48" s="12">
        <v>5</v>
      </c>
      <c r="F48" s="12">
        <v>5</v>
      </c>
      <c r="G48" s="12">
        <v>5</v>
      </c>
      <c r="H48" s="12">
        <v>5</v>
      </c>
      <c r="I48" s="12">
        <v>5</v>
      </c>
      <c r="J48" s="12">
        <v>4</v>
      </c>
      <c r="K48" s="13">
        <f t="shared" ref="K48:K50" si="9">SUM(D48:J48)</f>
        <v>34</v>
      </c>
      <c r="L48" s="12">
        <v>5</v>
      </c>
      <c r="M48" s="12">
        <v>5</v>
      </c>
      <c r="N48" s="12">
        <v>2</v>
      </c>
      <c r="O48" s="12">
        <v>5</v>
      </c>
      <c r="P48" s="12">
        <v>2</v>
      </c>
      <c r="Q48" s="12">
        <v>5</v>
      </c>
      <c r="R48" s="12">
        <v>4</v>
      </c>
      <c r="S48" s="12">
        <v>5</v>
      </c>
      <c r="T48" s="12">
        <v>5</v>
      </c>
      <c r="U48" s="12">
        <v>5</v>
      </c>
      <c r="V48" s="12">
        <v>5</v>
      </c>
      <c r="W48" s="12">
        <v>4</v>
      </c>
      <c r="X48" s="12">
        <v>2</v>
      </c>
      <c r="Y48" s="12">
        <v>3</v>
      </c>
      <c r="Z48" s="12">
        <v>3</v>
      </c>
      <c r="AA48" s="12">
        <v>5</v>
      </c>
      <c r="AB48" s="13">
        <f t="shared" ref="AB48:AB50" si="10">SUM(L48:AA48)</f>
        <v>65</v>
      </c>
      <c r="AC48" s="14"/>
    </row>
    <row r="49" ht="175.5" spans="1:29">
      <c r="A49" s="15"/>
      <c r="B49" s="10" t="s">
        <v>111</v>
      </c>
      <c r="C49" s="11" t="s">
        <v>112</v>
      </c>
      <c r="D49" s="12">
        <v>5</v>
      </c>
      <c r="E49" s="12">
        <v>5</v>
      </c>
      <c r="F49" s="12">
        <v>5</v>
      </c>
      <c r="G49" s="12">
        <v>5</v>
      </c>
      <c r="H49" s="12">
        <v>5</v>
      </c>
      <c r="I49" s="12">
        <v>5</v>
      </c>
      <c r="J49" s="12">
        <v>5</v>
      </c>
      <c r="K49" s="13">
        <f t="shared" si="9"/>
        <v>35</v>
      </c>
      <c r="L49" s="12">
        <v>5</v>
      </c>
      <c r="M49" s="12">
        <v>5</v>
      </c>
      <c r="N49" s="12">
        <v>2</v>
      </c>
      <c r="O49" s="12">
        <v>5</v>
      </c>
      <c r="P49" s="12">
        <v>2</v>
      </c>
      <c r="Q49" s="12">
        <v>5</v>
      </c>
      <c r="R49" s="12">
        <v>4</v>
      </c>
      <c r="S49" s="12">
        <v>5</v>
      </c>
      <c r="T49" s="12">
        <v>5</v>
      </c>
      <c r="U49" s="12">
        <v>5</v>
      </c>
      <c r="V49" s="12">
        <v>5</v>
      </c>
      <c r="W49" s="12">
        <v>4</v>
      </c>
      <c r="X49" s="12">
        <v>2</v>
      </c>
      <c r="Y49" s="12">
        <v>3</v>
      </c>
      <c r="Z49" s="12">
        <v>3</v>
      </c>
      <c r="AA49" s="12">
        <v>5</v>
      </c>
      <c r="AB49" s="13">
        <f t="shared" si="10"/>
        <v>65</v>
      </c>
      <c r="AC49" s="14"/>
    </row>
    <row r="50" ht="243" spans="1:29">
      <c r="A50" s="22"/>
      <c r="B50" s="10" t="s">
        <v>113</v>
      </c>
      <c r="C50" s="11" t="s">
        <v>114</v>
      </c>
      <c r="D50" s="12">
        <v>5</v>
      </c>
      <c r="E50" s="12">
        <v>5</v>
      </c>
      <c r="F50" s="12">
        <v>5</v>
      </c>
      <c r="G50" s="12">
        <v>5</v>
      </c>
      <c r="H50" s="12">
        <v>5</v>
      </c>
      <c r="I50" s="12">
        <v>5</v>
      </c>
      <c r="J50" s="12">
        <v>5</v>
      </c>
      <c r="K50" s="13">
        <f t="shared" si="9"/>
        <v>35</v>
      </c>
      <c r="L50" s="12">
        <v>5</v>
      </c>
      <c r="M50" s="12">
        <v>5</v>
      </c>
      <c r="N50" s="12">
        <v>2</v>
      </c>
      <c r="O50" s="12">
        <v>5</v>
      </c>
      <c r="P50" s="12">
        <v>2</v>
      </c>
      <c r="Q50" s="12">
        <v>5</v>
      </c>
      <c r="R50" s="12">
        <v>4</v>
      </c>
      <c r="S50" s="12">
        <v>5</v>
      </c>
      <c r="T50" s="12">
        <v>5</v>
      </c>
      <c r="U50" s="12">
        <v>5</v>
      </c>
      <c r="V50" s="12">
        <v>5</v>
      </c>
      <c r="W50" s="12">
        <v>4</v>
      </c>
      <c r="X50" s="12">
        <v>3</v>
      </c>
      <c r="Y50" s="12">
        <v>3</v>
      </c>
      <c r="Z50" s="12">
        <v>3</v>
      </c>
      <c r="AA50" s="12">
        <v>5</v>
      </c>
      <c r="AB50" s="13">
        <f t="shared" si="10"/>
        <v>66</v>
      </c>
      <c r="AC50" s="14"/>
    </row>
    <row r="51" spans="1:29">
      <c r="D51">
        <f>AVERAGE(D48:D50)</f>
        <v>5</v>
      </c>
      <c r="E51">
        <f t="shared" ref="E51:AB51" si="11">AVERAGE(E48:E50)</f>
        <v>5</v>
      </c>
      <c r="F51">
        <f t="shared" si="11"/>
        <v>5</v>
      </c>
      <c r="G51">
        <f t="shared" si="11"/>
        <v>5</v>
      </c>
      <c r="H51">
        <f t="shared" si="11"/>
        <v>5</v>
      </c>
      <c r="I51">
        <f t="shared" si="11"/>
        <v>5</v>
      </c>
      <c r="J51">
        <f t="shared" si="11"/>
        <v>4.66666666666667</v>
      </c>
      <c r="K51">
        <f t="shared" si="11"/>
        <v>34.6666666666667</v>
      </c>
      <c r="L51">
        <f t="shared" si="11"/>
        <v>5</v>
      </c>
      <c r="M51">
        <f t="shared" si="11"/>
        <v>5</v>
      </c>
      <c r="N51">
        <f t="shared" si="11"/>
        <v>2</v>
      </c>
      <c r="O51">
        <f t="shared" si="11"/>
        <v>5</v>
      </c>
      <c r="P51">
        <f t="shared" si="11"/>
        <v>2</v>
      </c>
      <c r="Q51">
        <f t="shared" si="11"/>
        <v>5</v>
      </c>
      <c r="R51">
        <f t="shared" si="11"/>
        <v>4</v>
      </c>
      <c r="S51">
        <f t="shared" si="11"/>
        <v>5</v>
      </c>
      <c r="T51">
        <f t="shared" si="11"/>
        <v>5</v>
      </c>
      <c r="U51">
        <f t="shared" si="11"/>
        <v>5</v>
      </c>
      <c r="V51">
        <f t="shared" si="11"/>
        <v>5</v>
      </c>
      <c r="W51">
        <f t="shared" si="11"/>
        <v>4</v>
      </c>
      <c r="X51">
        <f t="shared" si="11"/>
        <v>2.33333333333333</v>
      </c>
      <c r="Y51">
        <f t="shared" si="11"/>
        <v>3</v>
      </c>
      <c r="Z51">
        <f t="shared" si="11"/>
        <v>3</v>
      </c>
      <c r="AA51">
        <f t="shared" si="11"/>
        <v>5</v>
      </c>
      <c r="AB51">
        <f t="shared" si="11"/>
        <v>65.3333333333333</v>
      </c>
    </row>
    <row r="53" ht="148.5" spans="1:29">
      <c r="A53" s="23" t="s">
        <v>115</v>
      </c>
      <c r="B53" s="10" t="s">
        <v>116</v>
      </c>
      <c r="C53" s="11" t="s">
        <v>117</v>
      </c>
      <c r="D53" s="12">
        <v>5</v>
      </c>
      <c r="E53" s="12">
        <v>5</v>
      </c>
      <c r="F53" s="12">
        <v>5</v>
      </c>
      <c r="G53" s="12">
        <v>5</v>
      </c>
      <c r="H53" s="12">
        <v>5</v>
      </c>
      <c r="I53" s="12">
        <v>5</v>
      </c>
      <c r="J53" s="12">
        <v>5</v>
      </c>
      <c r="K53" s="13">
        <f t="shared" ref="K53:K60" si="12">SUM(D53:J53)</f>
        <v>35</v>
      </c>
      <c r="L53" s="12">
        <v>5</v>
      </c>
      <c r="M53" s="12">
        <v>5</v>
      </c>
      <c r="N53" s="12">
        <v>3</v>
      </c>
      <c r="O53" s="12">
        <v>5</v>
      </c>
      <c r="P53" s="12">
        <v>2</v>
      </c>
      <c r="Q53" s="12">
        <v>4</v>
      </c>
      <c r="R53" s="12">
        <v>4</v>
      </c>
      <c r="S53" s="12">
        <v>5</v>
      </c>
      <c r="T53" s="12">
        <v>5</v>
      </c>
      <c r="U53" s="12">
        <v>5</v>
      </c>
      <c r="V53" s="12">
        <v>5</v>
      </c>
      <c r="W53" s="12">
        <v>4</v>
      </c>
      <c r="X53" s="12">
        <v>2</v>
      </c>
      <c r="Y53" s="12">
        <v>5</v>
      </c>
      <c r="Z53" s="12">
        <v>3</v>
      </c>
      <c r="AA53" s="12">
        <v>4</v>
      </c>
      <c r="AB53" s="13">
        <f t="shared" ref="AB53:AB60" si="13">SUM(L53:AA53)</f>
        <v>66</v>
      </c>
      <c r="AC53" s="14"/>
    </row>
    <row r="54" ht="283.5" spans="1:29">
      <c r="A54" s="23"/>
      <c r="B54" s="10" t="s">
        <v>118</v>
      </c>
      <c r="C54" s="11" t="s">
        <v>119</v>
      </c>
      <c r="D54" s="12">
        <v>5</v>
      </c>
      <c r="E54" s="12">
        <v>5</v>
      </c>
      <c r="F54" s="12">
        <v>5</v>
      </c>
      <c r="G54" s="12">
        <v>5</v>
      </c>
      <c r="H54" s="12">
        <v>5</v>
      </c>
      <c r="I54" s="12">
        <v>5</v>
      </c>
      <c r="J54" s="12">
        <v>5</v>
      </c>
      <c r="K54" s="13">
        <f t="shared" si="12"/>
        <v>35</v>
      </c>
      <c r="L54" s="12">
        <v>5</v>
      </c>
      <c r="M54" s="12">
        <v>5</v>
      </c>
      <c r="N54" s="12">
        <v>3</v>
      </c>
      <c r="O54" s="12">
        <v>5</v>
      </c>
      <c r="P54" s="12">
        <v>2</v>
      </c>
      <c r="Q54" s="12">
        <v>4</v>
      </c>
      <c r="R54" s="12">
        <v>4</v>
      </c>
      <c r="S54" s="12">
        <v>5</v>
      </c>
      <c r="T54" s="12">
        <v>5</v>
      </c>
      <c r="U54" s="12">
        <v>5</v>
      </c>
      <c r="V54" s="12">
        <v>5</v>
      </c>
      <c r="W54" s="12">
        <v>4</v>
      </c>
      <c r="X54" s="12">
        <v>2</v>
      </c>
      <c r="Y54" s="12">
        <v>4</v>
      </c>
      <c r="Z54" s="12">
        <v>3</v>
      </c>
      <c r="AA54" s="12">
        <v>4</v>
      </c>
      <c r="AB54" s="13">
        <f t="shared" si="13"/>
        <v>65</v>
      </c>
      <c r="AC54" s="14"/>
    </row>
    <row r="55" ht="310.5" spans="1:29">
      <c r="A55" s="23"/>
      <c r="B55" s="10" t="s">
        <v>120</v>
      </c>
      <c r="C55" s="11" t="s">
        <v>121</v>
      </c>
      <c r="D55" s="12">
        <v>5</v>
      </c>
      <c r="E55" s="12">
        <v>5</v>
      </c>
      <c r="F55" s="12">
        <v>5</v>
      </c>
      <c r="G55" s="12">
        <v>5</v>
      </c>
      <c r="H55" s="12">
        <v>5</v>
      </c>
      <c r="I55" s="12">
        <v>5</v>
      </c>
      <c r="J55" s="12">
        <v>5</v>
      </c>
      <c r="K55" s="13">
        <f t="shared" si="12"/>
        <v>35</v>
      </c>
      <c r="L55" s="12">
        <v>5</v>
      </c>
      <c r="M55" s="12">
        <v>5</v>
      </c>
      <c r="N55" s="12">
        <v>3</v>
      </c>
      <c r="O55" s="12">
        <v>5</v>
      </c>
      <c r="P55" s="12">
        <v>2</v>
      </c>
      <c r="Q55" s="12">
        <v>4</v>
      </c>
      <c r="R55" s="12">
        <v>4</v>
      </c>
      <c r="S55" s="12">
        <v>5</v>
      </c>
      <c r="T55" s="12">
        <v>5</v>
      </c>
      <c r="U55" s="12">
        <v>5</v>
      </c>
      <c r="V55" s="12">
        <v>5</v>
      </c>
      <c r="W55" s="12">
        <v>4</v>
      </c>
      <c r="X55" s="12">
        <v>2</v>
      </c>
      <c r="Y55" s="12">
        <v>4</v>
      </c>
      <c r="Z55" s="12">
        <v>3</v>
      </c>
      <c r="AA55" s="12">
        <v>4</v>
      </c>
      <c r="AB55" s="13">
        <f t="shared" si="13"/>
        <v>65</v>
      </c>
      <c r="AC55" s="14"/>
    </row>
    <row r="56" ht="121" customHeight="1" spans="1:29">
      <c r="A56" s="23"/>
      <c r="B56" s="10" t="s">
        <v>122</v>
      </c>
      <c r="C56" s="11" t="s">
        <v>123</v>
      </c>
      <c r="D56" s="12">
        <v>5</v>
      </c>
      <c r="E56" s="12">
        <v>5</v>
      </c>
      <c r="F56" s="12">
        <v>5</v>
      </c>
      <c r="G56" s="12">
        <v>5</v>
      </c>
      <c r="H56" s="12">
        <v>5</v>
      </c>
      <c r="I56" s="12">
        <v>5</v>
      </c>
      <c r="J56" s="12">
        <v>5</v>
      </c>
      <c r="K56" s="13">
        <f t="shared" si="12"/>
        <v>35</v>
      </c>
      <c r="L56" s="12">
        <v>5</v>
      </c>
      <c r="M56" s="12">
        <v>5</v>
      </c>
      <c r="N56" s="12">
        <v>3</v>
      </c>
      <c r="O56" s="12">
        <v>5</v>
      </c>
      <c r="P56" s="12">
        <v>3</v>
      </c>
      <c r="Q56" s="12">
        <v>4</v>
      </c>
      <c r="R56" s="12">
        <v>4</v>
      </c>
      <c r="S56" s="12">
        <v>5</v>
      </c>
      <c r="T56" s="12">
        <v>5</v>
      </c>
      <c r="U56" s="12">
        <v>5</v>
      </c>
      <c r="V56" s="12">
        <v>5</v>
      </c>
      <c r="W56" s="12">
        <v>4</v>
      </c>
      <c r="X56" s="12">
        <v>3</v>
      </c>
      <c r="Y56" s="12">
        <v>4</v>
      </c>
      <c r="Z56" s="12">
        <v>3</v>
      </c>
      <c r="AA56" s="12">
        <v>4</v>
      </c>
      <c r="AB56" s="13">
        <f t="shared" si="13"/>
        <v>67</v>
      </c>
      <c r="AC56" s="14"/>
    </row>
    <row r="57" ht="168" customHeight="1" spans="1:29">
      <c r="A57" s="23"/>
      <c r="B57" s="10" t="s">
        <v>124</v>
      </c>
      <c r="C57" s="11" t="s">
        <v>125</v>
      </c>
      <c r="D57" s="12">
        <v>5</v>
      </c>
      <c r="E57" s="12">
        <v>5</v>
      </c>
      <c r="F57" s="12">
        <v>5</v>
      </c>
      <c r="G57" s="12">
        <v>5</v>
      </c>
      <c r="H57" s="12">
        <v>5</v>
      </c>
      <c r="I57" s="12">
        <v>5</v>
      </c>
      <c r="J57" s="12">
        <v>5</v>
      </c>
      <c r="K57" s="13">
        <f t="shared" si="12"/>
        <v>35</v>
      </c>
      <c r="L57" s="12">
        <v>5</v>
      </c>
      <c r="M57" s="12">
        <v>5</v>
      </c>
      <c r="N57" s="12">
        <v>2</v>
      </c>
      <c r="O57" s="12">
        <v>5</v>
      </c>
      <c r="P57" s="12">
        <v>2</v>
      </c>
      <c r="Q57" s="12">
        <v>4</v>
      </c>
      <c r="R57" s="12">
        <v>4</v>
      </c>
      <c r="S57" s="12">
        <v>5</v>
      </c>
      <c r="T57" s="12">
        <v>5</v>
      </c>
      <c r="U57" s="12">
        <v>5</v>
      </c>
      <c r="V57" s="12">
        <v>5</v>
      </c>
      <c r="W57" s="12">
        <v>4</v>
      </c>
      <c r="X57" s="12">
        <v>3</v>
      </c>
      <c r="Y57" s="12">
        <v>3</v>
      </c>
      <c r="Z57" s="12">
        <v>3</v>
      </c>
      <c r="AA57" s="12">
        <v>3</v>
      </c>
      <c r="AB57" s="13">
        <f t="shared" si="13"/>
        <v>63</v>
      </c>
      <c r="AC57" s="14"/>
    </row>
    <row r="58" ht="135" spans="1:29">
      <c r="A58" s="23"/>
      <c r="B58" s="10" t="s">
        <v>126</v>
      </c>
      <c r="C58" s="11" t="s">
        <v>127</v>
      </c>
      <c r="D58" s="12">
        <v>5</v>
      </c>
      <c r="E58" s="12">
        <v>5</v>
      </c>
      <c r="F58" s="12">
        <v>5</v>
      </c>
      <c r="G58" s="12">
        <v>5</v>
      </c>
      <c r="H58" s="12">
        <v>5</v>
      </c>
      <c r="I58" s="12">
        <v>5</v>
      </c>
      <c r="J58" s="12">
        <v>5</v>
      </c>
      <c r="K58" s="13">
        <f t="shared" si="12"/>
        <v>35</v>
      </c>
      <c r="L58" s="12">
        <v>5</v>
      </c>
      <c r="M58" s="12">
        <v>3</v>
      </c>
      <c r="N58" s="12">
        <v>3</v>
      </c>
      <c r="O58" s="12">
        <v>5</v>
      </c>
      <c r="P58" s="12">
        <v>1</v>
      </c>
      <c r="Q58" s="12">
        <v>4</v>
      </c>
      <c r="R58" s="12">
        <v>4</v>
      </c>
      <c r="S58" s="12">
        <v>5</v>
      </c>
      <c r="T58" s="12">
        <v>5</v>
      </c>
      <c r="U58" s="12">
        <v>5</v>
      </c>
      <c r="V58" s="12">
        <v>5</v>
      </c>
      <c r="W58" s="12">
        <v>4</v>
      </c>
      <c r="X58" s="12">
        <v>3</v>
      </c>
      <c r="Y58" s="12">
        <v>3</v>
      </c>
      <c r="Z58" s="12">
        <v>3</v>
      </c>
      <c r="AA58" s="12">
        <v>3</v>
      </c>
      <c r="AB58" s="13">
        <f t="shared" si="13"/>
        <v>61</v>
      </c>
      <c r="AC58" s="14"/>
    </row>
    <row r="59" ht="121.5" spans="1:29">
      <c r="A59" s="23"/>
      <c r="B59" s="10" t="s">
        <v>128</v>
      </c>
      <c r="C59" s="11" t="s">
        <v>129</v>
      </c>
      <c r="D59" s="12">
        <v>5</v>
      </c>
      <c r="E59" s="12">
        <v>5</v>
      </c>
      <c r="F59" s="12">
        <v>5</v>
      </c>
      <c r="G59" s="12">
        <v>5</v>
      </c>
      <c r="H59" s="12">
        <v>5</v>
      </c>
      <c r="I59" s="12">
        <v>5</v>
      </c>
      <c r="J59" s="12">
        <v>5</v>
      </c>
      <c r="K59" s="13">
        <f t="shared" si="12"/>
        <v>35</v>
      </c>
      <c r="L59" s="12">
        <v>5</v>
      </c>
      <c r="M59" s="12">
        <v>5</v>
      </c>
      <c r="N59" s="12">
        <v>2</v>
      </c>
      <c r="O59" s="12">
        <v>5</v>
      </c>
      <c r="P59" s="12">
        <v>2</v>
      </c>
      <c r="Q59" s="12">
        <v>4</v>
      </c>
      <c r="R59" s="12">
        <v>4</v>
      </c>
      <c r="S59" s="12">
        <v>5</v>
      </c>
      <c r="T59" s="12">
        <v>5</v>
      </c>
      <c r="U59" s="12">
        <v>5</v>
      </c>
      <c r="V59" s="12">
        <v>5</v>
      </c>
      <c r="W59" s="12">
        <v>4</v>
      </c>
      <c r="X59" s="12">
        <v>2</v>
      </c>
      <c r="Y59" s="12">
        <v>3</v>
      </c>
      <c r="Z59" s="12">
        <v>3</v>
      </c>
      <c r="AA59" s="12">
        <v>3</v>
      </c>
      <c r="AB59" s="13">
        <f t="shared" si="13"/>
        <v>62</v>
      </c>
      <c r="AC59" s="13"/>
    </row>
    <row r="60" customFormat="1" ht="148.5" spans="1:29">
      <c r="A60" s="24"/>
      <c r="B60" s="10" t="s">
        <v>130</v>
      </c>
      <c r="C60" s="11" t="s">
        <v>131</v>
      </c>
      <c r="D60" s="12">
        <v>5</v>
      </c>
      <c r="E60" s="12">
        <v>5</v>
      </c>
      <c r="F60" s="12">
        <v>5</v>
      </c>
      <c r="G60" s="12">
        <v>5</v>
      </c>
      <c r="H60" s="12">
        <v>5</v>
      </c>
      <c r="I60" s="12">
        <v>5</v>
      </c>
      <c r="J60" s="12">
        <v>5</v>
      </c>
      <c r="K60" s="13">
        <f t="shared" si="12"/>
        <v>35</v>
      </c>
      <c r="L60" s="12">
        <v>5</v>
      </c>
      <c r="M60" s="12">
        <v>5</v>
      </c>
      <c r="N60" s="12">
        <v>2</v>
      </c>
      <c r="O60" s="12">
        <v>5</v>
      </c>
      <c r="P60" s="12">
        <v>2</v>
      </c>
      <c r="Q60" s="12">
        <v>4</v>
      </c>
      <c r="R60" s="12">
        <v>4</v>
      </c>
      <c r="S60" s="12">
        <v>5</v>
      </c>
      <c r="T60" s="12">
        <v>5</v>
      </c>
      <c r="U60" s="12">
        <v>5</v>
      </c>
      <c r="V60" s="12">
        <v>5</v>
      </c>
      <c r="W60" s="12">
        <v>4</v>
      </c>
      <c r="X60" s="12">
        <v>1</v>
      </c>
      <c r="Y60" s="12">
        <v>3</v>
      </c>
      <c r="Z60" s="12">
        <v>3</v>
      </c>
      <c r="AA60" s="12">
        <v>3</v>
      </c>
      <c r="AB60" s="13">
        <f t="shared" si="13"/>
        <v>61</v>
      </c>
      <c r="AC60" s="14"/>
    </row>
    <row r="61" spans="1:29">
      <c r="D61">
        <f>AVERAGE(D53:D60)</f>
        <v>5</v>
      </c>
      <c r="E61">
        <f t="shared" ref="E61:AB61" si="14">AVERAGE(E53:E60)</f>
        <v>5</v>
      </c>
      <c r="F61">
        <f t="shared" si="14"/>
        <v>5</v>
      </c>
      <c r="G61">
        <f t="shared" si="14"/>
        <v>5</v>
      </c>
      <c r="H61">
        <f t="shared" si="14"/>
        <v>5</v>
      </c>
      <c r="I61">
        <f t="shared" si="14"/>
        <v>5</v>
      </c>
      <c r="J61">
        <f t="shared" si="14"/>
        <v>5</v>
      </c>
      <c r="K61">
        <f t="shared" si="14"/>
        <v>35</v>
      </c>
      <c r="L61">
        <f t="shared" si="14"/>
        <v>5</v>
      </c>
      <c r="M61">
        <f t="shared" si="14"/>
        <v>4.75</v>
      </c>
      <c r="N61">
        <f t="shared" si="14"/>
        <v>2.625</v>
      </c>
      <c r="O61">
        <f t="shared" si="14"/>
        <v>5</v>
      </c>
      <c r="P61">
        <f t="shared" si="14"/>
        <v>2</v>
      </c>
      <c r="Q61">
        <f t="shared" si="14"/>
        <v>4</v>
      </c>
      <c r="R61">
        <f t="shared" si="14"/>
        <v>4</v>
      </c>
      <c r="S61">
        <f t="shared" si="14"/>
        <v>5</v>
      </c>
      <c r="T61">
        <f t="shared" si="14"/>
        <v>5</v>
      </c>
      <c r="U61">
        <f t="shared" si="14"/>
        <v>5</v>
      </c>
      <c r="V61">
        <f t="shared" si="14"/>
        <v>5</v>
      </c>
      <c r="W61">
        <f t="shared" si="14"/>
        <v>4</v>
      </c>
      <c r="X61">
        <f t="shared" si="14"/>
        <v>2.25</v>
      </c>
      <c r="Y61">
        <f t="shared" si="14"/>
        <v>3.625</v>
      </c>
      <c r="Z61">
        <f t="shared" si="14"/>
        <v>3</v>
      </c>
      <c r="AA61">
        <f t="shared" si="14"/>
        <v>3.5</v>
      </c>
      <c r="AB61">
        <f t="shared" si="14"/>
        <v>63.75</v>
      </c>
    </row>
  </sheetData>
  <mergeCells count="6">
    <mergeCell ref="A1:AB1"/>
    <mergeCell ref="A3:A9"/>
    <mergeCell ref="A12:A29"/>
    <mergeCell ref="A32:A45"/>
    <mergeCell ref="A48:A50"/>
    <mergeCell ref="A53:A5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zoomScale="50" zoomScaleNormal="50" topLeftCell="C58" workbookViewId="0">
      <selection activeCell="AC58" sqref="AC$1:AC$1048576"/>
    </sheetView>
  </sheetViews>
  <sheetFormatPr defaultColWidth="9.02654867256637" defaultRowHeight="13.5"/>
  <cols>
    <col min="2" max="2" width="42.8141592920354" customWidth="1"/>
    <col min="3" max="3" width="45.8053097345133"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132</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204" customHeight="1" spans="1:29">
      <c r="A3" s="9" t="s">
        <v>133</v>
      </c>
      <c r="B3" s="10" t="s">
        <v>134</v>
      </c>
      <c r="C3" s="11" t="s">
        <v>135</v>
      </c>
      <c r="D3" s="12">
        <v>5</v>
      </c>
      <c r="E3" s="12">
        <v>5</v>
      </c>
      <c r="F3" s="12">
        <v>5</v>
      </c>
      <c r="G3" s="12">
        <v>5</v>
      </c>
      <c r="H3" s="12">
        <v>5</v>
      </c>
      <c r="I3" s="12">
        <v>5</v>
      </c>
      <c r="J3" s="12">
        <v>5</v>
      </c>
      <c r="K3" s="13">
        <f t="shared" ref="K3:K12" si="0">SUM(D3:J3)</f>
        <v>35</v>
      </c>
      <c r="L3" s="12">
        <v>5</v>
      </c>
      <c r="M3" s="12">
        <v>5</v>
      </c>
      <c r="N3" s="12">
        <v>3</v>
      </c>
      <c r="O3" s="12">
        <v>5</v>
      </c>
      <c r="P3" s="12">
        <v>1</v>
      </c>
      <c r="Q3" s="12">
        <v>4</v>
      </c>
      <c r="R3" s="12">
        <v>4</v>
      </c>
      <c r="S3" s="12">
        <v>5</v>
      </c>
      <c r="T3" s="12">
        <v>5</v>
      </c>
      <c r="U3" s="12">
        <v>5</v>
      </c>
      <c r="V3" s="12">
        <v>5</v>
      </c>
      <c r="W3" s="12">
        <v>3</v>
      </c>
      <c r="X3" s="12">
        <v>1</v>
      </c>
      <c r="Y3" s="12">
        <v>4</v>
      </c>
      <c r="Z3" s="12">
        <v>3</v>
      </c>
      <c r="AA3" s="12">
        <v>4</v>
      </c>
      <c r="AB3" s="13">
        <f t="shared" ref="AB3:AB12" si="1">SUM(L3:AA3)</f>
        <v>62</v>
      </c>
      <c r="AC3" s="14"/>
    </row>
    <row r="4" ht="135" spans="1:29">
      <c r="A4" s="15"/>
      <c r="B4" s="10" t="s">
        <v>136</v>
      </c>
      <c r="C4" s="11" t="s">
        <v>137</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3</v>
      </c>
      <c r="X4" s="12">
        <v>1</v>
      </c>
      <c r="Y4" s="12">
        <v>3</v>
      </c>
      <c r="Z4" s="12">
        <v>3</v>
      </c>
      <c r="AA4" s="12">
        <v>3</v>
      </c>
      <c r="AB4" s="13">
        <f t="shared" si="1"/>
        <v>57</v>
      </c>
      <c r="AC4" s="14"/>
    </row>
    <row r="5" ht="189" spans="1:29">
      <c r="A5" s="15"/>
      <c r="B5" s="10" t="s">
        <v>138</v>
      </c>
      <c r="C5" s="11" t="s">
        <v>139</v>
      </c>
      <c r="D5" s="12">
        <v>5</v>
      </c>
      <c r="E5" s="12">
        <v>5</v>
      </c>
      <c r="F5" s="12">
        <v>5</v>
      </c>
      <c r="G5" s="12">
        <v>5</v>
      </c>
      <c r="H5" s="12">
        <v>5</v>
      </c>
      <c r="I5" s="12">
        <v>5</v>
      </c>
      <c r="J5" s="12">
        <v>5</v>
      </c>
      <c r="K5" s="13">
        <f t="shared" si="0"/>
        <v>35</v>
      </c>
      <c r="L5" s="12">
        <v>5</v>
      </c>
      <c r="M5" s="12">
        <v>5</v>
      </c>
      <c r="N5" s="12">
        <v>3</v>
      </c>
      <c r="O5" s="12">
        <v>4</v>
      </c>
      <c r="P5" s="12">
        <v>3</v>
      </c>
      <c r="Q5" s="12">
        <v>4</v>
      </c>
      <c r="R5" s="12">
        <v>4</v>
      </c>
      <c r="S5" s="12">
        <v>3</v>
      </c>
      <c r="T5" s="12">
        <v>5</v>
      </c>
      <c r="U5" s="12">
        <v>5</v>
      </c>
      <c r="V5" s="12">
        <v>5</v>
      </c>
      <c r="W5" s="12">
        <v>4</v>
      </c>
      <c r="X5" s="12">
        <v>2</v>
      </c>
      <c r="Y5" s="12">
        <v>4</v>
      </c>
      <c r="Z5" s="12">
        <v>3</v>
      </c>
      <c r="AA5" s="12">
        <v>4</v>
      </c>
      <c r="AB5" s="13">
        <f t="shared" si="1"/>
        <v>63</v>
      </c>
      <c r="AC5" s="14"/>
    </row>
    <row r="6" ht="94" customHeight="1" spans="1:29">
      <c r="A6" s="15"/>
      <c r="B6" s="10" t="s">
        <v>140</v>
      </c>
      <c r="C6" s="11" t="s">
        <v>141</v>
      </c>
      <c r="D6" s="12">
        <v>5</v>
      </c>
      <c r="E6" s="12">
        <v>5</v>
      </c>
      <c r="F6" s="12">
        <v>5</v>
      </c>
      <c r="G6" s="12">
        <v>5</v>
      </c>
      <c r="H6" s="12">
        <v>5</v>
      </c>
      <c r="I6" s="12">
        <v>5</v>
      </c>
      <c r="J6" s="12">
        <v>5</v>
      </c>
      <c r="K6" s="13">
        <f t="shared" si="0"/>
        <v>35</v>
      </c>
      <c r="L6" s="12">
        <v>5</v>
      </c>
      <c r="M6" s="12">
        <v>4</v>
      </c>
      <c r="N6" s="12">
        <v>3</v>
      </c>
      <c r="O6" s="12">
        <v>5</v>
      </c>
      <c r="P6" s="12">
        <v>2</v>
      </c>
      <c r="Q6" s="12">
        <v>4</v>
      </c>
      <c r="R6" s="12">
        <v>4</v>
      </c>
      <c r="S6" s="12">
        <v>5</v>
      </c>
      <c r="T6" s="12">
        <v>5</v>
      </c>
      <c r="U6" s="12">
        <v>5</v>
      </c>
      <c r="V6" s="12">
        <v>5</v>
      </c>
      <c r="W6" s="12">
        <v>4</v>
      </c>
      <c r="X6" s="12">
        <v>1</v>
      </c>
      <c r="Y6" s="12">
        <v>4</v>
      </c>
      <c r="Z6" s="12">
        <v>3</v>
      </c>
      <c r="AA6" s="12">
        <v>4</v>
      </c>
      <c r="AB6" s="13">
        <f t="shared" si="1"/>
        <v>63</v>
      </c>
      <c r="AC6" s="14"/>
    </row>
    <row r="7" ht="135" spans="1:29">
      <c r="A7" s="15"/>
      <c r="B7" s="10" t="s">
        <v>142</v>
      </c>
      <c r="C7" s="11" t="s">
        <v>143</v>
      </c>
      <c r="D7" s="12">
        <v>5</v>
      </c>
      <c r="E7" s="12">
        <v>5</v>
      </c>
      <c r="F7" s="12">
        <v>5</v>
      </c>
      <c r="G7" s="12">
        <v>5</v>
      </c>
      <c r="H7" s="12">
        <v>5</v>
      </c>
      <c r="I7" s="12">
        <v>5</v>
      </c>
      <c r="J7" s="12">
        <v>5</v>
      </c>
      <c r="K7" s="13">
        <f t="shared" si="0"/>
        <v>35</v>
      </c>
      <c r="L7" s="12">
        <v>5</v>
      </c>
      <c r="M7" s="12">
        <v>5</v>
      </c>
      <c r="N7" s="12">
        <v>3</v>
      </c>
      <c r="O7" s="12">
        <v>4</v>
      </c>
      <c r="P7" s="12">
        <v>2</v>
      </c>
      <c r="Q7" s="12">
        <v>4</v>
      </c>
      <c r="R7" s="12">
        <v>4</v>
      </c>
      <c r="S7" s="12">
        <v>3</v>
      </c>
      <c r="T7" s="12">
        <v>5</v>
      </c>
      <c r="U7" s="12">
        <v>5</v>
      </c>
      <c r="V7" s="12">
        <v>5</v>
      </c>
      <c r="W7" s="12">
        <v>4</v>
      </c>
      <c r="X7" s="12">
        <v>1</v>
      </c>
      <c r="Y7" s="12">
        <v>3</v>
      </c>
      <c r="Z7" s="12">
        <v>3</v>
      </c>
      <c r="AA7" s="12">
        <v>3</v>
      </c>
      <c r="AB7" s="13">
        <f t="shared" si="1"/>
        <v>59</v>
      </c>
      <c r="AC7" s="14"/>
    </row>
    <row r="8" ht="96" customHeight="1" spans="1:29">
      <c r="A8" s="15"/>
      <c r="B8" s="10" t="s">
        <v>144</v>
      </c>
      <c r="C8" s="11" t="s">
        <v>145</v>
      </c>
      <c r="D8" s="12">
        <v>5</v>
      </c>
      <c r="E8" s="12">
        <v>5</v>
      </c>
      <c r="F8" s="12">
        <v>5</v>
      </c>
      <c r="G8" s="12">
        <v>5</v>
      </c>
      <c r="H8" s="12">
        <v>5</v>
      </c>
      <c r="I8" s="12">
        <v>5</v>
      </c>
      <c r="J8" s="12">
        <v>5</v>
      </c>
      <c r="K8" s="13">
        <f t="shared" si="0"/>
        <v>35</v>
      </c>
      <c r="L8" s="12">
        <v>5</v>
      </c>
      <c r="M8" s="12">
        <v>5</v>
      </c>
      <c r="N8" s="12">
        <v>3</v>
      </c>
      <c r="O8" s="12">
        <v>4</v>
      </c>
      <c r="P8" s="12">
        <v>2</v>
      </c>
      <c r="Q8" s="12">
        <v>4</v>
      </c>
      <c r="R8" s="12">
        <v>4</v>
      </c>
      <c r="S8" s="12">
        <v>3</v>
      </c>
      <c r="T8" s="12">
        <v>5</v>
      </c>
      <c r="U8" s="12">
        <v>5</v>
      </c>
      <c r="V8" s="12">
        <v>5</v>
      </c>
      <c r="W8" s="12">
        <v>4</v>
      </c>
      <c r="X8" s="12">
        <v>2</v>
      </c>
      <c r="Y8" s="12">
        <v>4</v>
      </c>
      <c r="Z8" s="12">
        <v>3</v>
      </c>
      <c r="AA8" s="12">
        <v>4</v>
      </c>
      <c r="AB8" s="13">
        <f t="shared" si="1"/>
        <v>62</v>
      </c>
      <c r="AC8" s="14"/>
    </row>
    <row r="9" ht="121.5" spans="1:29">
      <c r="A9" s="15"/>
      <c r="B9" s="10" t="s">
        <v>146</v>
      </c>
      <c r="C9" s="11" t="s">
        <v>147</v>
      </c>
      <c r="D9" s="12">
        <v>5</v>
      </c>
      <c r="E9" s="12">
        <v>5</v>
      </c>
      <c r="F9" s="12">
        <v>4</v>
      </c>
      <c r="G9" s="12">
        <v>5</v>
      </c>
      <c r="H9" s="12">
        <v>5</v>
      </c>
      <c r="I9" s="12">
        <v>5</v>
      </c>
      <c r="J9" s="12">
        <v>5</v>
      </c>
      <c r="K9" s="13">
        <f t="shared" si="0"/>
        <v>34</v>
      </c>
      <c r="L9" s="12">
        <v>5</v>
      </c>
      <c r="M9" s="12">
        <v>4</v>
      </c>
      <c r="N9" s="12">
        <v>2</v>
      </c>
      <c r="O9" s="12">
        <v>5</v>
      </c>
      <c r="P9" s="12">
        <v>1</v>
      </c>
      <c r="Q9" s="12">
        <v>4</v>
      </c>
      <c r="R9" s="12">
        <v>4</v>
      </c>
      <c r="S9" s="12">
        <v>5</v>
      </c>
      <c r="T9" s="12">
        <v>5</v>
      </c>
      <c r="U9" s="12">
        <v>5</v>
      </c>
      <c r="V9" s="12">
        <v>5</v>
      </c>
      <c r="W9" s="12">
        <v>4</v>
      </c>
      <c r="X9" s="12">
        <v>1</v>
      </c>
      <c r="Y9" s="12">
        <v>4</v>
      </c>
      <c r="Z9" s="12">
        <v>3</v>
      </c>
      <c r="AA9" s="12">
        <v>4</v>
      </c>
      <c r="AB9" s="13">
        <f t="shared" si="1"/>
        <v>61</v>
      </c>
      <c r="AC9" s="14"/>
    </row>
    <row r="10" ht="94.5" spans="1:29">
      <c r="A10" s="15"/>
      <c r="B10" s="10" t="s">
        <v>235</v>
      </c>
      <c r="C10" s="11" t="s">
        <v>236</v>
      </c>
      <c r="D10" s="16">
        <v>5</v>
      </c>
      <c r="E10" s="16">
        <v>5</v>
      </c>
      <c r="F10" s="16">
        <v>5</v>
      </c>
      <c r="G10" s="16">
        <v>5</v>
      </c>
      <c r="H10" s="16">
        <v>5</v>
      </c>
      <c r="I10" s="16">
        <v>5</v>
      </c>
      <c r="J10" s="16">
        <v>5</v>
      </c>
      <c r="K10" s="13">
        <f t="shared" si="0"/>
        <v>35</v>
      </c>
      <c r="L10" s="16">
        <v>5</v>
      </c>
      <c r="M10" s="16">
        <v>5</v>
      </c>
      <c r="N10" s="16">
        <v>3</v>
      </c>
      <c r="O10" s="16">
        <v>4</v>
      </c>
      <c r="P10" s="16">
        <v>1</v>
      </c>
      <c r="Q10" s="16">
        <v>4</v>
      </c>
      <c r="R10" s="16">
        <v>4</v>
      </c>
      <c r="S10" s="16">
        <v>3</v>
      </c>
      <c r="T10" s="16">
        <v>5</v>
      </c>
      <c r="U10" s="16">
        <v>5</v>
      </c>
      <c r="V10" s="16">
        <v>5</v>
      </c>
      <c r="W10" s="16">
        <v>4</v>
      </c>
      <c r="X10" s="16">
        <v>1</v>
      </c>
      <c r="Y10" s="16">
        <v>3</v>
      </c>
      <c r="Z10" s="16">
        <v>3</v>
      </c>
      <c r="AA10" s="16">
        <v>3</v>
      </c>
      <c r="AB10" s="13">
        <f t="shared" si="1"/>
        <v>58</v>
      </c>
      <c r="AC10" s="14"/>
    </row>
    <row r="11" ht="108" spans="1:29">
      <c r="A11" s="15"/>
      <c r="B11" s="10" t="s">
        <v>237</v>
      </c>
      <c r="C11" s="11" t="s">
        <v>238</v>
      </c>
      <c r="D11" s="16">
        <v>5</v>
      </c>
      <c r="E11" s="16">
        <v>5</v>
      </c>
      <c r="F11" s="16">
        <v>5</v>
      </c>
      <c r="G11" s="16">
        <v>5</v>
      </c>
      <c r="H11" s="16">
        <v>5</v>
      </c>
      <c r="I11" s="16">
        <v>5</v>
      </c>
      <c r="J11" s="16">
        <v>5</v>
      </c>
      <c r="K11" s="13">
        <f t="shared" si="0"/>
        <v>35</v>
      </c>
      <c r="L11" s="16">
        <v>5</v>
      </c>
      <c r="M11" s="16">
        <v>5</v>
      </c>
      <c r="N11" s="16">
        <v>3</v>
      </c>
      <c r="O11" s="16">
        <v>4</v>
      </c>
      <c r="P11" s="16">
        <v>1</v>
      </c>
      <c r="Q11" s="16">
        <v>4</v>
      </c>
      <c r="R11" s="16">
        <v>4</v>
      </c>
      <c r="S11" s="16">
        <v>3</v>
      </c>
      <c r="T11" s="16">
        <v>5</v>
      </c>
      <c r="U11" s="16">
        <v>5</v>
      </c>
      <c r="V11" s="16">
        <v>5</v>
      </c>
      <c r="W11" s="16">
        <v>4</v>
      </c>
      <c r="X11" s="16">
        <v>1</v>
      </c>
      <c r="Y11" s="16">
        <v>3</v>
      </c>
      <c r="Z11" s="16">
        <v>3</v>
      </c>
      <c r="AA11" s="16">
        <v>3</v>
      </c>
      <c r="AB11" s="13">
        <f t="shared" si="1"/>
        <v>58</v>
      </c>
      <c r="AC11" s="14"/>
    </row>
    <row r="12" ht="121.5" spans="1:29">
      <c r="A12" s="15"/>
      <c r="B12" s="10" t="s">
        <v>239</v>
      </c>
      <c r="C12" s="11" t="s">
        <v>240</v>
      </c>
      <c r="D12" s="16">
        <v>5</v>
      </c>
      <c r="E12" s="16">
        <v>5</v>
      </c>
      <c r="F12" s="16">
        <v>5</v>
      </c>
      <c r="G12" s="16">
        <v>5</v>
      </c>
      <c r="H12" s="16">
        <v>5</v>
      </c>
      <c r="I12" s="16">
        <v>5</v>
      </c>
      <c r="J12" s="16">
        <v>5</v>
      </c>
      <c r="K12" s="13">
        <f t="shared" si="0"/>
        <v>35</v>
      </c>
      <c r="L12" s="16">
        <v>5</v>
      </c>
      <c r="M12" s="16">
        <v>5</v>
      </c>
      <c r="N12" s="16">
        <v>3</v>
      </c>
      <c r="O12" s="16">
        <v>4</v>
      </c>
      <c r="P12" s="16">
        <v>1</v>
      </c>
      <c r="Q12" s="16">
        <v>4</v>
      </c>
      <c r="R12" s="16">
        <v>4</v>
      </c>
      <c r="S12" s="16">
        <v>3</v>
      </c>
      <c r="T12" s="16">
        <v>5</v>
      </c>
      <c r="U12" s="16">
        <v>5</v>
      </c>
      <c r="V12" s="16">
        <v>5</v>
      </c>
      <c r="W12" s="16">
        <v>4</v>
      </c>
      <c r="X12" s="16">
        <v>1</v>
      </c>
      <c r="Y12" s="16">
        <v>3</v>
      </c>
      <c r="Z12" s="16">
        <v>3</v>
      </c>
      <c r="AA12" s="16">
        <v>3</v>
      </c>
      <c r="AB12" s="13">
        <f t="shared" si="1"/>
        <v>58</v>
      </c>
      <c r="AC12" s="14"/>
    </row>
    <row r="13" spans="1:29">
      <c r="D13">
        <f>AVERAGE(D3:D12)</f>
        <v>5</v>
      </c>
      <c r="E13">
        <f t="shared" ref="E13:AB13" si="2">AVERAGE(E3:E12)</f>
        <v>5</v>
      </c>
      <c r="F13">
        <f t="shared" si="2"/>
        <v>4.9</v>
      </c>
      <c r="G13">
        <f t="shared" si="2"/>
        <v>5</v>
      </c>
      <c r="H13">
        <f t="shared" si="2"/>
        <v>5</v>
      </c>
      <c r="I13">
        <f t="shared" si="2"/>
        <v>5</v>
      </c>
      <c r="J13">
        <f t="shared" si="2"/>
        <v>5</v>
      </c>
      <c r="K13">
        <f t="shared" si="2"/>
        <v>34.9</v>
      </c>
      <c r="L13">
        <f t="shared" si="2"/>
        <v>5</v>
      </c>
      <c r="M13">
        <f t="shared" si="2"/>
        <v>4.8</v>
      </c>
      <c r="N13">
        <f t="shared" si="2"/>
        <v>2.9</v>
      </c>
      <c r="O13">
        <f t="shared" si="2"/>
        <v>4.3</v>
      </c>
      <c r="P13">
        <f t="shared" si="2"/>
        <v>1.5</v>
      </c>
      <c r="Q13">
        <f t="shared" si="2"/>
        <v>4</v>
      </c>
      <c r="R13">
        <f t="shared" si="2"/>
        <v>4</v>
      </c>
      <c r="S13">
        <f t="shared" si="2"/>
        <v>3.6</v>
      </c>
      <c r="T13">
        <f t="shared" si="2"/>
        <v>5</v>
      </c>
      <c r="U13">
        <f t="shared" si="2"/>
        <v>5</v>
      </c>
      <c r="V13">
        <f t="shared" si="2"/>
        <v>5</v>
      </c>
      <c r="W13">
        <f t="shared" si="2"/>
        <v>3.8</v>
      </c>
      <c r="X13">
        <f t="shared" si="2"/>
        <v>1.2</v>
      </c>
      <c r="Y13">
        <f t="shared" si="2"/>
        <v>3.5</v>
      </c>
      <c r="Z13">
        <f t="shared" si="2"/>
        <v>3</v>
      </c>
      <c r="AA13">
        <f t="shared" si="2"/>
        <v>3.5</v>
      </c>
      <c r="AB13">
        <f t="shared" si="2"/>
        <v>60.1</v>
      </c>
    </row>
    <row r="15" ht="175.5" spans="1:29">
      <c r="A15" s="15" t="s">
        <v>42</v>
      </c>
      <c r="B15" s="10" t="s">
        <v>148</v>
      </c>
      <c r="C15" s="11" t="s">
        <v>149</v>
      </c>
      <c r="D15" s="12">
        <v>5</v>
      </c>
      <c r="E15" s="12">
        <v>5</v>
      </c>
      <c r="F15" s="12">
        <v>5</v>
      </c>
      <c r="G15" s="12">
        <v>5</v>
      </c>
      <c r="H15" s="12">
        <v>5</v>
      </c>
      <c r="I15" s="12">
        <v>5</v>
      </c>
      <c r="J15" s="12">
        <v>5</v>
      </c>
      <c r="K15" s="13">
        <f t="shared" ref="K15:K39" si="3">SUM(D15:J15)</f>
        <v>35</v>
      </c>
      <c r="L15" s="12">
        <v>5</v>
      </c>
      <c r="M15" s="12">
        <v>5</v>
      </c>
      <c r="N15" s="12">
        <v>3</v>
      </c>
      <c r="O15" s="12">
        <v>5</v>
      </c>
      <c r="P15" s="12">
        <v>2</v>
      </c>
      <c r="Q15" s="12">
        <v>4</v>
      </c>
      <c r="R15" s="12">
        <v>4</v>
      </c>
      <c r="S15" s="12">
        <v>5</v>
      </c>
      <c r="T15" s="12">
        <v>5</v>
      </c>
      <c r="U15" s="12">
        <v>5</v>
      </c>
      <c r="V15" s="12">
        <v>5</v>
      </c>
      <c r="W15" s="12">
        <v>4</v>
      </c>
      <c r="X15" s="12">
        <v>3</v>
      </c>
      <c r="Y15" s="12">
        <v>4</v>
      </c>
      <c r="Z15" s="12">
        <v>3</v>
      </c>
      <c r="AA15" s="12">
        <v>4</v>
      </c>
      <c r="AB15" s="13">
        <f t="shared" ref="AB15:AB39" si="4">SUM(L15:AA15)</f>
        <v>66</v>
      </c>
      <c r="AC15" s="14"/>
    </row>
    <row r="16" ht="202.5" spans="1:29">
      <c r="A16" s="15"/>
      <c r="B16" s="10" t="s">
        <v>150</v>
      </c>
      <c r="C16" s="11" t="s">
        <v>151</v>
      </c>
      <c r="D16" s="12">
        <v>5</v>
      </c>
      <c r="E16" s="12">
        <v>5</v>
      </c>
      <c r="F16" s="12">
        <v>5</v>
      </c>
      <c r="G16" s="12">
        <v>5</v>
      </c>
      <c r="H16" s="12">
        <v>5</v>
      </c>
      <c r="I16" s="12">
        <v>5</v>
      </c>
      <c r="J16" s="12">
        <v>5</v>
      </c>
      <c r="K16" s="13">
        <f t="shared" si="3"/>
        <v>35</v>
      </c>
      <c r="L16" s="12">
        <v>5</v>
      </c>
      <c r="M16" s="12">
        <v>5</v>
      </c>
      <c r="N16" s="12">
        <v>3</v>
      </c>
      <c r="O16" s="12">
        <v>5</v>
      </c>
      <c r="P16" s="12">
        <v>3</v>
      </c>
      <c r="Q16" s="12">
        <v>4</v>
      </c>
      <c r="R16" s="12">
        <v>5</v>
      </c>
      <c r="S16" s="12">
        <v>5</v>
      </c>
      <c r="T16" s="12">
        <v>5</v>
      </c>
      <c r="U16" s="12">
        <v>5</v>
      </c>
      <c r="V16" s="12">
        <v>5</v>
      </c>
      <c r="W16" s="12">
        <v>5</v>
      </c>
      <c r="X16" s="12">
        <v>3</v>
      </c>
      <c r="Y16" s="12">
        <v>4</v>
      </c>
      <c r="Z16" s="12">
        <v>3</v>
      </c>
      <c r="AA16" s="12">
        <v>4</v>
      </c>
      <c r="AB16" s="13">
        <f t="shared" si="4"/>
        <v>69</v>
      </c>
      <c r="AC16" s="14"/>
    </row>
    <row r="17" ht="162" spans="1:29">
      <c r="A17" s="15"/>
      <c r="B17" s="10" t="s">
        <v>152</v>
      </c>
      <c r="C17" s="11" t="s">
        <v>153</v>
      </c>
      <c r="D17" s="12">
        <v>5</v>
      </c>
      <c r="E17" s="12">
        <v>5</v>
      </c>
      <c r="F17" s="12">
        <v>5</v>
      </c>
      <c r="G17" s="12">
        <v>5</v>
      </c>
      <c r="H17" s="12">
        <v>5</v>
      </c>
      <c r="I17" s="12">
        <v>5</v>
      </c>
      <c r="J17" s="12">
        <v>5</v>
      </c>
      <c r="K17" s="13">
        <f t="shared" si="3"/>
        <v>35</v>
      </c>
      <c r="L17" s="12">
        <v>5</v>
      </c>
      <c r="M17" s="12">
        <v>5</v>
      </c>
      <c r="N17" s="12">
        <v>3</v>
      </c>
      <c r="O17" s="12">
        <v>5</v>
      </c>
      <c r="P17" s="12">
        <v>4</v>
      </c>
      <c r="Q17" s="12">
        <v>3</v>
      </c>
      <c r="R17" s="12">
        <v>5</v>
      </c>
      <c r="S17" s="12">
        <v>5</v>
      </c>
      <c r="T17" s="12">
        <v>5</v>
      </c>
      <c r="U17" s="12">
        <v>5</v>
      </c>
      <c r="V17" s="12">
        <v>5</v>
      </c>
      <c r="W17" s="12">
        <v>5</v>
      </c>
      <c r="X17" s="12">
        <v>3</v>
      </c>
      <c r="Y17" s="12">
        <v>4</v>
      </c>
      <c r="Z17" s="12">
        <v>3</v>
      </c>
      <c r="AA17" s="12">
        <v>4</v>
      </c>
      <c r="AB17" s="13">
        <f t="shared" si="4"/>
        <v>69</v>
      </c>
      <c r="AC17" s="14"/>
    </row>
    <row r="18" ht="189" spans="1:29">
      <c r="A18" s="15"/>
      <c r="B18" s="10" t="s">
        <v>154</v>
      </c>
      <c r="C18" s="11" t="s">
        <v>155</v>
      </c>
      <c r="D18" s="12">
        <v>5</v>
      </c>
      <c r="E18" s="12">
        <v>5</v>
      </c>
      <c r="F18" s="12">
        <v>5</v>
      </c>
      <c r="G18" s="12">
        <v>5</v>
      </c>
      <c r="H18" s="12">
        <v>5</v>
      </c>
      <c r="I18" s="12">
        <v>5</v>
      </c>
      <c r="J18" s="12">
        <v>5</v>
      </c>
      <c r="K18" s="13">
        <f t="shared" si="3"/>
        <v>35</v>
      </c>
      <c r="L18" s="12">
        <v>5</v>
      </c>
      <c r="M18" s="12">
        <v>5</v>
      </c>
      <c r="N18" s="12">
        <v>3</v>
      </c>
      <c r="O18" s="12">
        <v>5</v>
      </c>
      <c r="P18" s="12">
        <v>3</v>
      </c>
      <c r="Q18" s="12">
        <v>4</v>
      </c>
      <c r="R18" s="12">
        <v>5</v>
      </c>
      <c r="S18" s="12">
        <v>5</v>
      </c>
      <c r="T18" s="12">
        <v>5</v>
      </c>
      <c r="U18" s="12">
        <v>5</v>
      </c>
      <c r="V18" s="12">
        <v>5</v>
      </c>
      <c r="W18" s="12">
        <v>5</v>
      </c>
      <c r="X18" s="12">
        <v>3</v>
      </c>
      <c r="Y18" s="12">
        <v>4</v>
      </c>
      <c r="Z18" s="12">
        <v>3</v>
      </c>
      <c r="AA18" s="12">
        <v>4</v>
      </c>
      <c r="AB18" s="13">
        <f t="shared" si="4"/>
        <v>69</v>
      </c>
      <c r="AC18" s="14"/>
    </row>
    <row r="19" ht="162" spans="1:29">
      <c r="A19" s="15"/>
      <c r="B19" s="10" t="s">
        <v>156</v>
      </c>
      <c r="C19" s="11" t="s">
        <v>157</v>
      </c>
      <c r="D19" s="12">
        <v>5</v>
      </c>
      <c r="E19" s="12">
        <v>5</v>
      </c>
      <c r="F19" s="12">
        <v>5</v>
      </c>
      <c r="G19" s="12">
        <v>5</v>
      </c>
      <c r="H19" s="12">
        <v>5</v>
      </c>
      <c r="I19" s="12">
        <v>5</v>
      </c>
      <c r="J19" s="12">
        <v>5</v>
      </c>
      <c r="K19" s="13">
        <f t="shared" si="3"/>
        <v>35</v>
      </c>
      <c r="L19" s="12">
        <v>5</v>
      </c>
      <c r="M19" s="12">
        <v>5</v>
      </c>
      <c r="N19" s="12">
        <v>3</v>
      </c>
      <c r="O19" s="12">
        <v>5</v>
      </c>
      <c r="P19" s="12">
        <v>4</v>
      </c>
      <c r="Q19" s="12">
        <v>4</v>
      </c>
      <c r="R19" s="12">
        <v>5</v>
      </c>
      <c r="S19" s="12">
        <v>5</v>
      </c>
      <c r="T19" s="12">
        <v>5</v>
      </c>
      <c r="U19" s="12">
        <v>5</v>
      </c>
      <c r="V19" s="12">
        <v>5</v>
      </c>
      <c r="W19" s="12">
        <v>5</v>
      </c>
      <c r="X19" s="12">
        <v>3</v>
      </c>
      <c r="Y19" s="12">
        <v>4</v>
      </c>
      <c r="Z19" s="12">
        <v>3</v>
      </c>
      <c r="AA19" s="12">
        <v>4</v>
      </c>
      <c r="AB19" s="13">
        <f t="shared" si="4"/>
        <v>70</v>
      </c>
      <c r="AC19" s="14"/>
    </row>
    <row r="20" ht="202.5" spans="1:29">
      <c r="A20" s="15"/>
      <c r="B20" s="10" t="s">
        <v>158</v>
      </c>
      <c r="C20" s="11" t="s">
        <v>159</v>
      </c>
      <c r="D20" s="12">
        <v>5</v>
      </c>
      <c r="E20" s="12">
        <v>5</v>
      </c>
      <c r="F20" s="12">
        <v>3</v>
      </c>
      <c r="G20" s="12">
        <v>5</v>
      </c>
      <c r="H20" s="12">
        <v>5</v>
      </c>
      <c r="I20" s="12">
        <v>5</v>
      </c>
      <c r="J20" s="12">
        <v>5</v>
      </c>
      <c r="K20" s="13">
        <f t="shared" si="3"/>
        <v>33</v>
      </c>
      <c r="L20" s="12">
        <v>5</v>
      </c>
      <c r="M20" s="12">
        <v>5</v>
      </c>
      <c r="N20" s="12">
        <v>2</v>
      </c>
      <c r="O20" s="12">
        <v>5</v>
      </c>
      <c r="P20" s="12">
        <v>5</v>
      </c>
      <c r="Q20" s="12">
        <v>5</v>
      </c>
      <c r="R20" s="12">
        <v>4</v>
      </c>
      <c r="S20" s="12">
        <v>5</v>
      </c>
      <c r="T20" s="12">
        <v>5</v>
      </c>
      <c r="U20" s="12">
        <v>5</v>
      </c>
      <c r="V20" s="12">
        <v>4</v>
      </c>
      <c r="W20" s="12">
        <v>4</v>
      </c>
      <c r="X20" s="12">
        <v>4</v>
      </c>
      <c r="Y20" s="12">
        <v>4</v>
      </c>
      <c r="Z20" s="12">
        <v>3</v>
      </c>
      <c r="AA20" s="12">
        <v>4</v>
      </c>
      <c r="AB20" s="13">
        <f t="shared" si="4"/>
        <v>69</v>
      </c>
      <c r="AC20" s="14"/>
    </row>
    <row r="21" ht="175.5" spans="1:29">
      <c r="A21" s="15"/>
      <c r="B21" s="10" t="s">
        <v>160</v>
      </c>
      <c r="C21" s="11" t="s">
        <v>161</v>
      </c>
      <c r="D21" s="12">
        <v>5</v>
      </c>
      <c r="E21" s="12">
        <v>5</v>
      </c>
      <c r="F21" s="12">
        <v>5</v>
      </c>
      <c r="G21" s="12">
        <v>5</v>
      </c>
      <c r="H21" s="12">
        <v>5</v>
      </c>
      <c r="I21" s="12">
        <v>5</v>
      </c>
      <c r="J21" s="12">
        <v>5</v>
      </c>
      <c r="K21" s="13">
        <f t="shared" si="3"/>
        <v>35</v>
      </c>
      <c r="L21" s="12">
        <v>5</v>
      </c>
      <c r="M21" s="12">
        <v>5</v>
      </c>
      <c r="N21" s="12">
        <v>3</v>
      </c>
      <c r="O21" s="12">
        <v>5</v>
      </c>
      <c r="P21" s="12">
        <v>4</v>
      </c>
      <c r="Q21" s="12">
        <v>4</v>
      </c>
      <c r="R21" s="12">
        <v>4</v>
      </c>
      <c r="S21" s="12">
        <v>5</v>
      </c>
      <c r="T21" s="12">
        <v>5</v>
      </c>
      <c r="U21" s="12">
        <v>5</v>
      </c>
      <c r="V21" s="12">
        <v>5</v>
      </c>
      <c r="W21" s="12">
        <v>4</v>
      </c>
      <c r="X21" s="12">
        <v>4</v>
      </c>
      <c r="Y21" s="12">
        <v>4</v>
      </c>
      <c r="Z21" s="12">
        <v>3</v>
      </c>
      <c r="AA21" s="12">
        <v>4</v>
      </c>
      <c r="AB21" s="13">
        <f t="shared" si="4"/>
        <v>69</v>
      </c>
      <c r="AC21" s="14"/>
    </row>
    <row r="22" ht="162" spans="1:29">
      <c r="A22" s="15"/>
      <c r="B22" s="10" t="s">
        <v>162</v>
      </c>
      <c r="C22" s="11" t="s">
        <v>163</v>
      </c>
      <c r="D22" s="12">
        <v>5</v>
      </c>
      <c r="E22" s="12">
        <v>5</v>
      </c>
      <c r="F22" s="12">
        <v>4</v>
      </c>
      <c r="G22" s="12">
        <v>5</v>
      </c>
      <c r="H22" s="12">
        <v>5</v>
      </c>
      <c r="I22" s="12">
        <v>5</v>
      </c>
      <c r="J22" s="12">
        <v>5</v>
      </c>
      <c r="K22" s="13">
        <f t="shared" si="3"/>
        <v>34</v>
      </c>
      <c r="L22" s="12">
        <v>5</v>
      </c>
      <c r="M22" s="12">
        <v>5</v>
      </c>
      <c r="N22" s="12">
        <v>3</v>
      </c>
      <c r="O22" s="12">
        <v>5</v>
      </c>
      <c r="P22" s="12">
        <v>3</v>
      </c>
      <c r="Q22" s="12">
        <v>4</v>
      </c>
      <c r="R22" s="12">
        <v>4</v>
      </c>
      <c r="S22" s="12">
        <v>5</v>
      </c>
      <c r="T22" s="12">
        <v>5</v>
      </c>
      <c r="U22" s="12">
        <v>5</v>
      </c>
      <c r="V22" s="12">
        <v>5</v>
      </c>
      <c r="W22" s="12">
        <v>5</v>
      </c>
      <c r="X22" s="12">
        <v>3</v>
      </c>
      <c r="Y22" s="12">
        <v>4</v>
      </c>
      <c r="Z22" s="12">
        <v>3</v>
      </c>
      <c r="AA22" s="12">
        <v>4</v>
      </c>
      <c r="AB22" s="13">
        <f t="shared" si="4"/>
        <v>68</v>
      </c>
      <c r="AC22" s="14"/>
    </row>
    <row r="23" ht="189" spans="1:29">
      <c r="A23" s="15"/>
      <c r="B23" s="10" t="s">
        <v>164</v>
      </c>
      <c r="C23" s="11" t="s">
        <v>165</v>
      </c>
      <c r="D23" s="12">
        <v>5</v>
      </c>
      <c r="E23" s="12">
        <v>5</v>
      </c>
      <c r="F23" s="12">
        <v>5</v>
      </c>
      <c r="G23" s="12">
        <v>5</v>
      </c>
      <c r="H23" s="12">
        <v>5</v>
      </c>
      <c r="I23" s="12">
        <v>5</v>
      </c>
      <c r="J23" s="12">
        <v>5</v>
      </c>
      <c r="K23" s="13">
        <f t="shared" si="3"/>
        <v>35</v>
      </c>
      <c r="L23" s="12">
        <v>5</v>
      </c>
      <c r="M23" s="12">
        <v>5</v>
      </c>
      <c r="N23" s="12">
        <v>2</v>
      </c>
      <c r="O23" s="12">
        <v>5</v>
      </c>
      <c r="P23" s="12">
        <v>3</v>
      </c>
      <c r="Q23" s="12">
        <v>4</v>
      </c>
      <c r="R23" s="12">
        <v>5</v>
      </c>
      <c r="S23" s="12">
        <v>5</v>
      </c>
      <c r="T23" s="12">
        <v>5</v>
      </c>
      <c r="U23" s="12">
        <v>5</v>
      </c>
      <c r="V23" s="12">
        <v>5</v>
      </c>
      <c r="W23" s="12">
        <v>5</v>
      </c>
      <c r="X23" s="12">
        <v>3</v>
      </c>
      <c r="Y23" s="12">
        <v>4</v>
      </c>
      <c r="Z23" s="12">
        <v>3</v>
      </c>
      <c r="AA23" s="12">
        <v>4</v>
      </c>
      <c r="AB23" s="13">
        <f t="shared" si="4"/>
        <v>68</v>
      </c>
      <c r="AC23" s="14"/>
    </row>
    <row r="24" ht="243" spans="1:29">
      <c r="A24" s="15"/>
      <c r="B24" s="10" t="s">
        <v>166</v>
      </c>
      <c r="C24" s="11" t="s">
        <v>167</v>
      </c>
      <c r="D24" s="12">
        <v>5</v>
      </c>
      <c r="E24" s="12">
        <v>5</v>
      </c>
      <c r="F24" s="12">
        <v>4</v>
      </c>
      <c r="G24" s="12">
        <v>5</v>
      </c>
      <c r="H24" s="12">
        <v>5</v>
      </c>
      <c r="I24" s="12">
        <v>5</v>
      </c>
      <c r="J24" s="12">
        <v>5</v>
      </c>
      <c r="K24" s="13">
        <f t="shared" si="3"/>
        <v>34</v>
      </c>
      <c r="L24" s="12">
        <v>5</v>
      </c>
      <c r="M24" s="12">
        <v>5</v>
      </c>
      <c r="N24" s="12">
        <v>3</v>
      </c>
      <c r="O24" s="12">
        <v>5</v>
      </c>
      <c r="P24" s="12">
        <v>4</v>
      </c>
      <c r="Q24" s="12">
        <v>4</v>
      </c>
      <c r="R24" s="12">
        <v>4</v>
      </c>
      <c r="S24" s="12">
        <v>5</v>
      </c>
      <c r="T24" s="12">
        <v>5</v>
      </c>
      <c r="U24" s="12">
        <v>5</v>
      </c>
      <c r="V24" s="12">
        <v>5</v>
      </c>
      <c r="W24" s="12">
        <v>4</v>
      </c>
      <c r="X24" s="12">
        <v>3</v>
      </c>
      <c r="Y24" s="12">
        <v>4</v>
      </c>
      <c r="Z24" s="12">
        <v>3</v>
      </c>
      <c r="AA24" s="12">
        <v>4</v>
      </c>
      <c r="AB24" s="13">
        <f t="shared" si="4"/>
        <v>68</v>
      </c>
      <c r="AC24" s="14"/>
    </row>
    <row r="25" ht="148.5" spans="1:29">
      <c r="A25" s="15"/>
      <c r="B25" s="10" t="s">
        <v>168</v>
      </c>
      <c r="C25" s="11" t="s">
        <v>169</v>
      </c>
      <c r="D25" s="12">
        <v>5</v>
      </c>
      <c r="E25" s="12">
        <v>5</v>
      </c>
      <c r="F25" s="12">
        <v>4</v>
      </c>
      <c r="G25" s="12">
        <v>5</v>
      </c>
      <c r="H25" s="12">
        <v>5</v>
      </c>
      <c r="I25" s="12">
        <v>5</v>
      </c>
      <c r="J25" s="12">
        <v>5</v>
      </c>
      <c r="K25" s="13">
        <f t="shared" si="3"/>
        <v>34</v>
      </c>
      <c r="L25" s="12">
        <v>5</v>
      </c>
      <c r="M25" s="12">
        <v>4</v>
      </c>
      <c r="N25" s="12">
        <v>3</v>
      </c>
      <c r="O25" s="12">
        <v>4</v>
      </c>
      <c r="P25" s="12">
        <v>1</v>
      </c>
      <c r="Q25" s="12">
        <v>4</v>
      </c>
      <c r="R25" s="12">
        <v>4</v>
      </c>
      <c r="S25" s="12">
        <v>5</v>
      </c>
      <c r="T25" s="12">
        <v>5</v>
      </c>
      <c r="U25" s="12">
        <v>5</v>
      </c>
      <c r="V25" s="12">
        <v>5</v>
      </c>
      <c r="W25" s="12">
        <v>4</v>
      </c>
      <c r="X25" s="12">
        <v>2</v>
      </c>
      <c r="Y25" s="12">
        <v>4</v>
      </c>
      <c r="Z25" s="12">
        <v>3</v>
      </c>
      <c r="AA25" s="12">
        <v>4</v>
      </c>
      <c r="AB25" s="13">
        <f t="shared" si="4"/>
        <v>62</v>
      </c>
      <c r="AC25" s="14"/>
    </row>
    <row r="26" ht="148.5" spans="1:29">
      <c r="A26" s="15"/>
      <c r="B26" s="10" t="s">
        <v>170</v>
      </c>
      <c r="C26" s="11" t="s">
        <v>171</v>
      </c>
      <c r="D26" s="12">
        <v>5</v>
      </c>
      <c r="E26" s="12">
        <v>5</v>
      </c>
      <c r="F26" s="12">
        <v>4</v>
      </c>
      <c r="G26" s="12">
        <v>5</v>
      </c>
      <c r="H26" s="12">
        <v>5</v>
      </c>
      <c r="I26" s="12">
        <v>5</v>
      </c>
      <c r="J26" s="12">
        <v>5</v>
      </c>
      <c r="K26" s="13">
        <f t="shared" si="3"/>
        <v>34</v>
      </c>
      <c r="L26" s="12">
        <v>5</v>
      </c>
      <c r="M26" s="12">
        <v>4</v>
      </c>
      <c r="N26" s="12">
        <v>3</v>
      </c>
      <c r="O26" s="12">
        <v>4</v>
      </c>
      <c r="P26" s="12">
        <v>2</v>
      </c>
      <c r="Q26" s="12">
        <v>4</v>
      </c>
      <c r="R26" s="12">
        <v>4</v>
      </c>
      <c r="S26" s="12">
        <v>5</v>
      </c>
      <c r="T26" s="12">
        <v>5</v>
      </c>
      <c r="U26" s="12">
        <v>5</v>
      </c>
      <c r="V26" s="12">
        <v>5</v>
      </c>
      <c r="W26" s="12">
        <v>4</v>
      </c>
      <c r="X26" s="12">
        <v>2</v>
      </c>
      <c r="Y26" s="12">
        <v>4</v>
      </c>
      <c r="Z26" s="12">
        <v>3</v>
      </c>
      <c r="AA26" s="12">
        <v>4</v>
      </c>
      <c r="AB26" s="13">
        <f t="shared" si="4"/>
        <v>63</v>
      </c>
      <c r="AC26" s="14"/>
    </row>
    <row r="27" ht="208" customHeight="1" spans="1:29">
      <c r="A27" s="15"/>
      <c r="B27" s="10" t="s">
        <v>172</v>
      </c>
      <c r="C27" s="11" t="s">
        <v>173</v>
      </c>
      <c r="D27" s="12">
        <v>5</v>
      </c>
      <c r="E27" s="12">
        <v>5</v>
      </c>
      <c r="F27" s="12">
        <v>5</v>
      </c>
      <c r="G27" s="12">
        <v>5</v>
      </c>
      <c r="H27" s="12">
        <v>5</v>
      </c>
      <c r="I27" s="12">
        <v>5</v>
      </c>
      <c r="J27" s="12">
        <v>5</v>
      </c>
      <c r="K27" s="13">
        <f t="shared" si="3"/>
        <v>35</v>
      </c>
      <c r="L27" s="12">
        <v>5</v>
      </c>
      <c r="M27" s="12">
        <v>5</v>
      </c>
      <c r="N27" s="12">
        <v>3</v>
      </c>
      <c r="O27" s="12">
        <v>5</v>
      </c>
      <c r="P27" s="12">
        <v>4</v>
      </c>
      <c r="Q27" s="12">
        <v>4</v>
      </c>
      <c r="R27" s="12">
        <v>4</v>
      </c>
      <c r="S27" s="12">
        <v>5</v>
      </c>
      <c r="T27" s="12">
        <v>5</v>
      </c>
      <c r="U27" s="12">
        <v>5</v>
      </c>
      <c r="V27" s="12">
        <v>5</v>
      </c>
      <c r="W27" s="12">
        <v>3</v>
      </c>
      <c r="X27" s="12">
        <v>3</v>
      </c>
      <c r="Y27" s="12">
        <v>4</v>
      </c>
      <c r="Z27" s="12">
        <v>3</v>
      </c>
      <c r="AA27" s="12">
        <v>4</v>
      </c>
      <c r="AB27" s="13">
        <f t="shared" si="4"/>
        <v>67</v>
      </c>
      <c r="AC27" s="14"/>
    </row>
    <row r="28" ht="148.5" spans="1:29">
      <c r="A28" s="15"/>
      <c r="B28" s="10" t="s">
        <v>174</v>
      </c>
      <c r="C28" s="11" t="s">
        <v>175</v>
      </c>
      <c r="D28" s="12">
        <v>5</v>
      </c>
      <c r="E28" s="12">
        <v>5</v>
      </c>
      <c r="F28" s="12">
        <v>5</v>
      </c>
      <c r="G28" s="12">
        <v>5</v>
      </c>
      <c r="H28" s="12">
        <v>5</v>
      </c>
      <c r="I28" s="12">
        <v>5</v>
      </c>
      <c r="J28" s="12">
        <v>5</v>
      </c>
      <c r="K28" s="13">
        <f t="shared" si="3"/>
        <v>35</v>
      </c>
      <c r="L28" s="12">
        <v>5</v>
      </c>
      <c r="M28" s="12">
        <v>4</v>
      </c>
      <c r="N28" s="12">
        <v>3</v>
      </c>
      <c r="O28" s="12">
        <v>4</v>
      </c>
      <c r="P28" s="12">
        <v>2</v>
      </c>
      <c r="Q28" s="12">
        <v>3</v>
      </c>
      <c r="R28" s="12">
        <v>4</v>
      </c>
      <c r="S28" s="12">
        <v>5</v>
      </c>
      <c r="T28" s="12">
        <v>5</v>
      </c>
      <c r="U28" s="12">
        <v>4</v>
      </c>
      <c r="V28" s="12">
        <v>5</v>
      </c>
      <c r="W28" s="12">
        <v>3</v>
      </c>
      <c r="X28" s="12">
        <v>2</v>
      </c>
      <c r="Y28" s="12">
        <v>4</v>
      </c>
      <c r="Z28" s="12">
        <v>3</v>
      </c>
      <c r="AA28" s="12">
        <v>4</v>
      </c>
      <c r="AB28" s="13">
        <f t="shared" si="4"/>
        <v>60</v>
      </c>
      <c r="AC28" s="14"/>
    </row>
    <row r="29" ht="135" spans="1:29">
      <c r="A29" s="15"/>
      <c r="B29" s="10" t="s">
        <v>176</v>
      </c>
      <c r="C29" s="11" t="s">
        <v>177</v>
      </c>
      <c r="D29" s="12">
        <v>5</v>
      </c>
      <c r="E29" s="12">
        <v>5</v>
      </c>
      <c r="F29" s="12">
        <v>5</v>
      </c>
      <c r="G29" s="12">
        <v>5</v>
      </c>
      <c r="H29" s="12">
        <v>5</v>
      </c>
      <c r="I29" s="12">
        <v>5</v>
      </c>
      <c r="J29" s="12">
        <v>5</v>
      </c>
      <c r="K29" s="13">
        <f t="shared" si="3"/>
        <v>35</v>
      </c>
      <c r="L29" s="12">
        <v>5</v>
      </c>
      <c r="M29" s="12">
        <v>4</v>
      </c>
      <c r="N29" s="12">
        <v>3</v>
      </c>
      <c r="O29" s="12">
        <v>4</v>
      </c>
      <c r="P29" s="12">
        <v>1</v>
      </c>
      <c r="Q29" s="12">
        <v>4</v>
      </c>
      <c r="R29" s="12">
        <v>4</v>
      </c>
      <c r="S29" s="12">
        <v>5</v>
      </c>
      <c r="T29" s="12">
        <v>5</v>
      </c>
      <c r="U29" s="12">
        <v>5</v>
      </c>
      <c r="V29" s="12">
        <v>5</v>
      </c>
      <c r="W29" s="12">
        <v>4</v>
      </c>
      <c r="X29" s="12">
        <v>2</v>
      </c>
      <c r="Y29" s="12">
        <v>4</v>
      </c>
      <c r="Z29" s="12">
        <v>3</v>
      </c>
      <c r="AA29" s="12">
        <v>4</v>
      </c>
      <c r="AB29" s="13">
        <f t="shared" si="4"/>
        <v>62</v>
      </c>
      <c r="AC29" s="14"/>
    </row>
    <row r="30" ht="162.4" spans="1:29">
      <c r="A30" s="15"/>
      <c r="B30" s="10" t="s">
        <v>178</v>
      </c>
      <c r="C30" s="11" t="s">
        <v>179</v>
      </c>
      <c r="D30" s="12">
        <v>5</v>
      </c>
      <c r="E30" s="12">
        <v>5</v>
      </c>
      <c r="F30" s="12">
        <v>5</v>
      </c>
      <c r="G30" s="12">
        <v>5</v>
      </c>
      <c r="H30" s="12">
        <v>5</v>
      </c>
      <c r="I30" s="12">
        <v>5</v>
      </c>
      <c r="J30" s="12">
        <v>5</v>
      </c>
      <c r="K30" s="13">
        <f t="shared" si="3"/>
        <v>35</v>
      </c>
      <c r="L30" s="12">
        <v>5</v>
      </c>
      <c r="M30" s="12">
        <v>5</v>
      </c>
      <c r="N30" s="12">
        <v>3</v>
      </c>
      <c r="O30" s="12">
        <v>5</v>
      </c>
      <c r="P30" s="12">
        <v>3</v>
      </c>
      <c r="Q30" s="12">
        <v>4</v>
      </c>
      <c r="R30" s="12">
        <v>4</v>
      </c>
      <c r="S30" s="12">
        <v>5</v>
      </c>
      <c r="T30" s="12">
        <v>5</v>
      </c>
      <c r="U30" s="12">
        <v>5</v>
      </c>
      <c r="V30" s="12">
        <v>5</v>
      </c>
      <c r="W30" s="12">
        <v>3</v>
      </c>
      <c r="X30" s="12">
        <v>3</v>
      </c>
      <c r="Y30" s="12">
        <v>3</v>
      </c>
      <c r="Z30" s="12">
        <v>3</v>
      </c>
      <c r="AA30" s="12">
        <v>3</v>
      </c>
      <c r="AB30" s="13">
        <f t="shared" si="4"/>
        <v>64</v>
      </c>
      <c r="AC30" s="14"/>
    </row>
    <row r="31" ht="216" spans="1:29">
      <c r="A31" s="15"/>
      <c r="B31" s="10" t="s">
        <v>180</v>
      </c>
      <c r="C31" s="11" t="s">
        <v>181</v>
      </c>
      <c r="D31" s="12">
        <v>5</v>
      </c>
      <c r="E31" s="12">
        <v>5</v>
      </c>
      <c r="F31" s="12">
        <v>5</v>
      </c>
      <c r="G31" s="12">
        <v>5</v>
      </c>
      <c r="H31" s="12">
        <v>5</v>
      </c>
      <c r="I31" s="12">
        <v>5</v>
      </c>
      <c r="J31" s="12">
        <v>5</v>
      </c>
      <c r="K31" s="13">
        <f t="shared" si="3"/>
        <v>35</v>
      </c>
      <c r="L31" s="12">
        <v>5</v>
      </c>
      <c r="M31" s="12">
        <v>5</v>
      </c>
      <c r="N31" s="12">
        <v>3</v>
      </c>
      <c r="O31" s="12">
        <v>5</v>
      </c>
      <c r="P31" s="12">
        <v>4</v>
      </c>
      <c r="Q31" s="12">
        <v>4</v>
      </c>
      <c r="R31" s="12">
        <v>4</v>
      </c>
      <c r="S31" s="12">
        <v>5</v>
      </c>
      <c r="T31" s="12">
        <v>5</v>
      </c>
      <c r="U31" s="12">
        <v>5</v>
      </c>
      <c r="V31" s="12">
        <v>5</v>
      </c>
      <c r="W31" s="12">
        <v>4</v>
      </c>
      <c r="X31" s="12">
        <v>4</v>
      </c>
      <c r="Y31" s="12">
        <v>4</v>
      </c>
      <c r="Z31" s="12">
        <v>3</v>
      </c>
      <c r="AA31" s="12">
        <v>4</v>
      </c>
      <c r="AB31" s="13">
        <f t="shared" si="4"/>
        <v>69</v>
      </c>
      <c r="AC31" s="14"/>
    </row>
    <row r="32" ht="162" spans="1:29">
      <c r="A32" s="15"/>
      <c r="B32" s="10" t="s">
        <v>182</v>
      </c>
      <c r="C32" s="11" t="s">
        <v>183</v>
      </c>
      <c r="D32" s="12">
        <v>5</v>
      </c>
      <c r="E32" s="12">
        <v>5</v>
      </c>
      <c r="F32" s="12">
        <v>5</v>
      </c>
      <c r="G32" s="12">
        <v>5</v>
      </c>
      <c r="H32" s="12">
        <v>5</v>
      </c>
      <c r="I32" s="12">
        <v>5</v>
      </c>
      <c r="J32" s="12">
        <v>5</v>
      </c>
      <c r="K32" s="13">
        <f t="shared" si="3"/>
        <v>35</v>
      </c>
      <c r="L32" s="12">
        <v>5</v>
      </c>
      <c r="M32" s="12">
        <v>4</v>
      </c>
      <c r="N32" s="12">
        <v>3</v>
      </c>
      <c r="O32" s="12">
        <v>4</v>
      </c>
      <c r="P32" s="12">
        <v>1</v>
      </c>
      <c r="Q32" s="12">
        <v>4</v>
      </c>
      <c r="R32" s="12">
        <v>4</v>
      </c>
      <c r="S32" s="12">
        <v>5</v>
      </c>
      <c r="T32" s="12">
        <v>5</v>
      </c>
      <c r="U32" s="12">
        <v>5</v>
      </c>
      <c r="V32" s="12">
        <v>5</v>
      </c>
      <c r="W32" s="12">
        <v>4</v>
      </c>
      <c r="X32" s="12">
        <v>3</v>
      </c>
      <c r="Y32" s="12">
        <v>4</v>
      </c>
      <c r="Z32" s="12">
        <v>3</v>
      </c>
      <c r="AA32" s="12">
        <v>4</v>
      </c>
      <c r="AB32" s="13">
        <f t="shared" si="4"/>
        <v>63</v>
      </c>
      <c r="AC32" s="14"/>
    </row>
    <row r="33" ht="162" spans="1:29">
      <c r="A33" s="15"/>
      <c r="B33" s="10" t="s">
        <v>241</v>
      </c>
      <c r="C33" s="11" t="s">
        <v>242</v>
      </c>
      <c r="D33" s="16">
        <v>5</v>
      </c>
      <c r="E33" s="16">
        <v>5</v>
      </c>
      <c r="F33" s="16">
        <v>5</v>
      </c>
      <c r="G33" s="16">
        <v>5</v>
      </c>
      <c r="H33" s="16">
        <v>5</v>
      </c>
      <c r="I33" s="16">
        <v>5</v>
      </c>
      <c r="J33" s="16">
        <v>5</v>
      </c>
      <c r="K33" s="13">
        <f t="shared" si="3"/>
        <v>35</v>
      </c>
      <c r="L33" s="16">
        <v>5</v>
      </c>
      <c r="M33" s="16">
        <v>4</v>
      </c>
      <c r="N33" s="16">
        <v>3</v>
      </c>
      <c r="O33" s="16">
        <v>4</v>
      </c>
      <c r="P33" s="16">
        <v>1</v>
      </c>
      <c r="Q33" s="16">
        <v>4</v>
      </c>
      <c r="R33" s="16">
        <v>4</v>
      </c>
      <c r="S33" s="16">
        <v>5</v>
      </c>
      <c r="T33" s="16">
        <v>5</v>
      </c>
      <c r="U33" s="16">
        <v>5</v>
      </c>
      <c r="V33" s="16">
        <v>5</v>
      </c>
      <c r="W33" s="16">
        <v>3</v>
      </c>
      <c r="X33" s="16">
        <v>2</v>
      </c>
      <c r="Y33" s="16">
        <v>3</v>
      </c>
      <c r="Z33" s="16">
        <v>3</v>
      </c>
      <c r="AA33" s="16">
        <v>4</v>
      </c>
      <c r="AB33" s="13">
        <f t="shared" si="4"/>
        <v>60</v>
      </c>
      <c r="AC33" s="14"/>
    </row>
    <row r="34" ht="148.5" spans="1:29">
      <c r="A34" s="15"/>
      <c r="B34" s="10" t="s">
        <v>243</v>
      </c>
      <c r="C34" s="11" t="s">
        <v>244</v>
      </c>
      <c r="D34" s="16">
        <v>5</v>
      </c>
      <c r="E34" s="16">
        <v>5</v>
      </c>
      <c r="F34" s="16">
        <v>5</v>
      </c>
      <c r="G34" s="16">
        <v>5</v>
      </c>
      <c r="H34" s="16">
        <v>5</v>
      </c>
      <c r="I34" s="16">
        <v>5</v>
      </c>
      <c r="J34" s="16">
        <v>5</v>
      </c>
      <c r="K34" s="13">
        <f t="shared" si="3"/>
        <v>35</v>
      </c>
      <c r="L34" s="16">
        <v>5</v>
      </c>
      <c r="M34" s="16">
        <v>5</v>
      </c>
      <c r="N34" s="16">
        <v>3</v>
      </c>
      <c r="O34" s="16">
        <v>5</v>
      </c>
      <c r="P34" s="16">
        <v>1</v>
      </c>
      <c r="Q34" s="16">
        <v>4</v>
      </c>
      <c r="R34" s="16">
        <v>4</v>
      </c>
      <c r="S34" s="16">
        <v>5</v>
      </c>
      <c r="T34" s="16">
        <v>5</v>
      </c>
      <c r="U34" s="16">
        <v>5</v>
      </c>
      <c r="V34" s="16">
        <v>5</v>
      </c>
      <c r="W34" s="16">
        <v>3</v>
      </c>
      <c r="X34" s="16">
        <v>1</v>
      </c>
      <c r="Y34" s="16">
        <v>2</v>
      </c>
      <c r="Z34" s="16">
        <v>3</v>
      </c>
      <c r="AA34" s="16">
        <v>3</v>
      </c>
      <c r="AB34" s="13">
        <f t="shared" si="4"/>
        <v>59</v>
      </c>
      <c r="AC34" s="13"/>
    </row>
    <row r="35" ht="135" spans="1:29">
      <c r="A35" s="15"/>
      <c r="B35" s="10" t="s">
        <v>245</v>
      </c>
      <c r="C35" s="11" t="s">
        <v>246</v>
      </c>
      <c r="D35" s="16">
        <v>5</v>
      </c>
      <c r="E35" s="16">
        <v>5</v>
      </c>
      <c r="F35" s="16">
        <v>5</v>
      </c>
      <c r="G35" s="16">
        <v>5</v>
      </c>
      <c r="H35" s="16">
        <v>5</v>
      </c>
      <c r="I35" s="16">
        <v>5</v>
      </c>
      <c r="J35" s="16">
        <v>5</v>
      </c>
      <c r="K35" s="13">
        <f t="shared" si="3"/>
        <v>35</v>
      </c>
      <c r="L35" s="16">
        <v>5</v>
      </c>
      <c r="M35" s="16">
        <v>4</v>
      </c>
      <c r="N35" s="16">
        <v>3</v>
      </c>
      <c r="O35" s="16">
        <v>4</v>
      </c>
      <c r="P35" s="16">
        <v>1</v>
      </c>
      <c r="Q35" s="16">
        <v>4</v>
      </c>
      <c r="R35" s="16">
        <v>4</v>
      </c>
      <c r="S35" s="16">
        <v>5</v>
      </c>
      <c r="T35" s="16">
        <v>5</v>
      </c>
      <c r="U35" s="16">
        <v>5</v>
      </c>
      <c r="V35" s="16">
        <v>5</v>
      </c>
      <c r="W35" s="16">
        <v>3</v>
      </c>
      <c r="X35" s="16">
        <v>2</v>
      </c>
      <c r="Y35" s="16">
        <v>3</v>
      </c>
      <c r="Z35" s="16">
        <v>3</v>
      </c>
      <c r="AA35" s="16">
        <v>4</v>
      </c>
      <c r="AB35" s="13">
        <f t="shared" si="4"/>
        <v>60</v>
      </c>
      <c r="AC35" s="14"/>
    </row>
    <row r="36" ht="135" spans="1:29">
      <c r="A36" s="15"/>
      <c r="B36" s="10" t="s">
        <v>247</v>
      </c>
      <c r="C36" s="11" t="s">
        <v>248</v>
      </c>
      <c r="D36" s="16">
        <v>5</v>
      </c>
      <c r="E36" s="16">
        <v>4</v>
      </c>
      <c r="F36" s="16">
        <v>5</v>
      </c>
      <c r="G36" s="16">
        <v>5</v>
      </c>
      <c r="H36" s="16">
        <v>5</v>
      </c>
      <c r="I36" s="16">
        <v>5</v>
      </c>
      <c r="J36" s="16">
        <v>4</v>
      </c>
      <c r="K36" s="13">
        <f t="shared" si="3"/>
        <v>33</v>
      </c>
      <c r="L36" s="16">
        <v>5</v>
      </c>
      <c r="M36" s="16">
        <v>4</v>
      </c>
      <c r="N36" s="16">
        <v>3</v>
      </c>
      <c r="O36" s="16">
        <v>4</v>
      </c>
      <c r="P36" s="16">
        <v>1</v>
      </c>
      <c r="Q36" s="16">
        <v>4</v>
      </c>
      <c r="R36" s="16">
        <v>4</v>
      </c>
      <c r="S36" s="16">
        <v>5</v>
      </c>
      <c r="T36" s="16">
        <v>5</v>
      </c>
      <c r="U36" s="16">
        <v>5</v>
      </c>
      <c r="V36" s="16">
        <v>5</v>
      </c>
      <c r="W36" s="16">
        <v>4</v>
      </c>
      <c r="X36" s="16">
        <v>2</v>
      </c>
      <c r="Y36" s="16">
        <v>3</v>
      </c>
      <c r="Z36" s="16">
        <v>3</v>
      </c>
      <c r="AA36" s="16">
        <v>4</v>
      </c>
      <c r="AB36" s="13">
        <f t="shared" si="4"/>
        <v>61</v>
      </c>
      <c r="AC36" s="14"/>
    </row>
    <row r="37" ht="202.5" spans="1:29">
      <c r="A37" s="15"/>
      <c r="B37" s="10" t="s">
        <v>249</v>
      </c>
      <c r="C37" s="11" t="s">
        <v>250</v>
      </c>
      <c r="D37" s="16">
        <v>5</v>
      </c>
      <c r="E37" s="16">
        <v>4</v>
      </c>
      <c r="F37" s="16">
        <v>5</v>
      </c>
      <c r="G37" s="16">
        <v>5</v>
      </c>
      <c r="H37" s="16">
        <v>5</v>
      </c>
      <c r="I37" s="16">
        <v>5</v>
      </c>
      <c r="J37" s="16">
        <v>4</v>
      </c>
      <c r="K37" s="13">
        <f t="shared" si="3"/>
        <v>33</v>
      </c>
      <c r="L37" s="16">
        <v>5</v>
      </c>
      <c r="M37" s="16">
        <v>4</v>
      </c>
      <c r="N37" s="16">
        <v>3</v>
      </c>
      <c r="O37" s="16">
        <v>4</v>
      </c>
      <c r="P37" s="16">
        <v>1</v>
      </c>
      <c r="Q37" s="16">
        <v>4</v>
      </c>
      <c r="R37" s="16">
        <v>4</v>
      </c>
      <c r="S37" s="16">
        <v>5</v>
      </c>
      <c r="T37" s="16">
        <v>5</v>
      </c>
      <c r="U37" s="16">
        <v>5</v>
      </c>
      <c r="V37" s="16">
        <v>5</v>
      </c>
      <c r="W37" s="16">
        <v>4</v>
      </c>
      <c r="X37" s="16">
        <v>2</v>
      </c>
      <c r="Y37" s="16">
        <v>4</v>
      </c>
      <c r="Z37" s="16">
        <v>3</v>
      </c>
      <c r="AA37" s="16">
        <v>4</v>
      </c>
      <c r="AB37" s="13">
        <f t="shared" si="4"/>
        <v>62</v>
      </c>
      <c r="AC37" s="14"/>
    </row>
    <row r="38" ht="148.5" spans="1:29">
      <c r="A38" s="15"/>
      <c r="B38" s="10" t="s">
        <v>251</v>
      </c>
      <c r="C38" s="11" t="s">
        <v>252</v>
      </c>
      <c r="D38" s="16">
        <v>5</v>
      </c>
      <c r="E38" s="16">
        <v>5</v>
      </c>
      <c r="F38" s="16">
        <v>5</v>
      </c>
      <c r="G38" s="16">
        <v>5</v>
      </c>
      <c r="H38" s="16">
        <v>5</v>
      </c>
      <c r="I38" s="16">
        <v>5</v>
      </c>
      <c r="J38" s="16">
        <v>5</v>
      </c>
      <c r="K38" s="13">
        <f t="shared" si="3"/>
        <v>35</v>
      </c>
      <c r="L38" s="16">
        <v>5</v>
      </c>
      <c r="M38" s="16">
        <v>4</v>
      </c>
      <c r="N38" s="16">
        <v>3</v>
      </c>
      <c r="O38" s="16">
        <v>4</v>
      </c>
      <c r="P38" s="16">
        <v>1</v>
      </c>
      <c r="Q38" s="16">
        <v>4</v>
      </c>
      <c r="R38" s="16">
        <v>4</v>
      </c>
      <c r="S38" s="16">
        <v>5</v>
      </c>
      <c r="T38" s="16">
        <v>5</v>
      </c>
      <c r="U38" s="16">
        <v>5</v>
      </c>
      <c r="V38" s="16">
        <v>5</v>
      </c>
      <c r="W38" s="16">
        <v>3</v>
      </c>
      <c r="X38" s="16">
        <v>2</v>
      </c>
      <c r="Y38" s="16">
        <v>4</v>
      </c>
      <c r="Z38" s="16">
        <v>3</v>
      </c>
      <c r="AA38" s="16">
        <v>3</v>
      </c>
      <c r="AB38" s="13">
        <f t="shared" si="4"/>
        <v>60</v>
      </c>
      <c r="AC38" s="14"/>
    </row>
    <row r="39" ht="135" spans="1:29">
      <c r="A39" s="15"/>
      <c r="B39" s="10" t="s">
        <v>253</v>
      </c>
      <c r="C39" s="11" t="s">
        <v>254</v>
      </c>
      <c r="D39" s="16">
        <v>5</v>
      </c>
      <c r="E39" s="16">
        <v>4</v>
      </c>
      <c r="F39" s="16">
        <v>5</v>
      </c>
      <c r="G39" s="16">
        <v>5</v>
      </c>
      <c r="H39" s="16">
        <v>5</v>
      </c>
      <c r="I39" s="16">
        <v>5</v>
      </c>
      <c r="J39" s="16">
        <v>4</v>
      </c>
      <c r="K39" s="13">
        <f t="shared" si="3"/>
        <v>33</v>
      </c>
      <c r="L39" s="16">
        <v>5</v>
      </c>
      <c r="M39" s="16">
        <v>4</v>
      </c>
      <c r="N39" s="16">
        <v>3</v>
      </c>
      <c r="O39" s="16">
        <v>4</v>
      </c>
      <c r="P39" s="16">
        <v>1</v>
      </c>
      <c r="Q39" s="16">
        <v>4</v>
      </c>
      <c r="R39" s="16">
        <v>4</v>
      </c>
      <c r="S39" s="16">
        <v>5</v>
      </c>
      <c r="T39" s="16">
        <v>5</v>
      </c>
      <c r="U39" s="16">
        <v>5</v>
      </c>
      <c r="V39" s="16">
        <v>5</v>
      </c>
      <c r="W39" s="16">
        <v>4</v>
      </c>
      <c r="X39" s="16">
        <v>2</v>
      </c>
      <c r="Y39" s="16">
        <v>4</v>
      </c>
      <c r="Z39" s="16">
        <v>3</v>
      </c>
      <c r="AA39" s="16">
        <v>4</v>
      </c>
      <c r="AB39" s="13">
        <f t="shared" si="4"/>
        <v>62</v>
      </c>
      <c r="AC39" s="14"/>
    </row>
    <row r="40" spans="1:29">
      <c r="D40">
        <f>AVERAGE(D15:D39)</f>
        <v>5</v>
      </c>
      <c r="E40">
        <f t="shared" ref="E40:AB40" si="5">AVERAGE(E15:E39)</f>
        <v>4.88</v>
      </c>
      <c r="F40">
        <f t="shared" si="5"/>
        <v>4.76</v>
      </c>
      <c r="G40">
        <f t="shared" si="5"/>
        <v>5</v>
      </c>
      <c r="H40">
        <f t="shared" si="5"/>
        <v>5</v>
      </c>
      <c r="I40">
        <f t="shared" si="5"/>
        <v>5</v>
      </c>
      <c r="J40">
        <f t="shared" si="5"/>
        <v>4.88</v>
      </c>
      <c r="K40">
        <f t="shared" si="5"/>
        <v>34.52</v>
      </c>
      <c r="L40">
        <f t="shared" si="5"/>
        <v>5</v>
      </c>
      <c r="M40">
        <f t="shared" si="5"/>
        <v>4.56</v>
      </c>
      <c r="N40">
        <f t="shared" si="5"/>
        <v>2.92</v>
      </c>
      <c r="O40">
        <f t="shared" si="5"/>
        <v>4.56</v>
      </c>
      <c r="P40">
        <f t="shared" si="5"/>
        <v>2.4</v>
      </c>
      <c r="Q40">
        <f t="shared" si="5"/>
        <v>3.96</v>
      </c>
      <c r="R40">
        <f t="shared" si="5"/>
        <v>4.2</v>
      </c>
      <c r="S40">
        <f t="shared" si="5"/>
        <v>5</v>
      </c>
      <c r="T40">
        <f t="shared" si="5"/>
        <v>5</v>
      </c>
      <c r="U40">
        <f t="shared" si="5"/>
        <v>4.96</v>
      </c>
      <c r="V40">
        <f t="shared" si="5"/>
        <v>4.96</v>
      </c>
      <c r="W40">
        <f t="shared" si="5"/>
        <v>3.96</v>
      </c>
      <c r="X40">
        <f t="shared" si="5"/>
        <v>2.64</v>
      </c>
      <c r="Y40">
        <f t="shared" si="5"/>
        <v>3.76</v>
      </c>
      <c r="Z40">
        <f t="shared" si="5"/>
        <v>3</v>
      </c>
      <c r="AA40">
        <f t="shared" si="5"/>
        <v>3.88</v>
      </c>
      <c r="AB40">
        <f t="shared" si="5"/>
        <v>64.76</v>
      </c>
    </row>
    <row r="42" ht="135" spans="1:29">
      <c r="A42" s="21" t="s">
        <v>184</v>
      </c>
      <c r="B42" s="18" t="s">
        <v>185</v>
      </c>
      <c r="C42" s="11" t="s">
        <v>186</v>
      </c>
      <c r="D42" s="12">
        <v>5</v>
      </c>
      <c r="E42" s="12">
        <v>5</v>
      </c>
      <c r="F42" s="12">
        <v>5</v>
      </c>
      <c r="G42" s="12">
        <v>5</v>
      </c>
      <c r="H42" s="12">
        <v>5</v>
      </c>
      <c r="I42" s="12">
        <v>5</v>
      </c>
      <c r="J42" s="12">
        <v>5</v>
      </c>
      <c r="K42" s="13">
        <f t="shared" ref="K42:K59" si="6">SUM(D42:J42)</f>
        <v>35</v>
      </c>
      <c r="L42" s="12">
        <v>5</v>
      </c>
      <c r="M42" s="12">
        <v>5</v>
      </c>
      <c r="N42" s="12">
        <v>2</v>
      </c>
      <c r="O42" s="12">
        <v>5</v>
      </c>
      <c r="P42" s="12">
        <v>3</v>
      </c>
      <c r="Q42" s="12">
        <v>5</v>
      </c>
      <c r="R42" s="12">
        <v>4</v>
      </c>
      <c r="S42" s="12">
        <v>5</v>
      </c>
      <c r="T42" s="12">
        <v>5</v>
      </c>
      <c r="U42" s="12">
        <v>5</v>
      </c>
      <c r="V42" s="12">
        <v>5</v>
      </c>
      <c r="W42" s="12">
        <v>4</v>
      </c>
      <c r="X42" s="12">
        <v>3</v>
      </c>
      <c r="Y42" s="12">
        <v>4</v>
      </c>
      <c r="Z42" s="12">
        <v>3</v>
      </c>
      <c r="AA42" s="12">
        <v>4</v>
      </c>
      <c r="AB42" s="13">
        <f t="shared" ref="AB42:AB59" si="7">SUM(L42:AA42)</f>
        <v>67</v>
      </c>
      <c r="AC42" s="14"/>
    </row>
    <row r="43" ht="148.5" spans="1:29">
      <c r="A43" s="21"/>
      <c r="B43" s="18" t="s">
        <v>187</v>
      </c>
      <c r="C43" s="11" t="s">
        <v>188</v>
      </c>
      <c r="D43" s="12">
        <v>5</v>
      </c>
      <c r="E43" s="12">
        <v>5</v>
      </c>
      <c r="F43" s="12">
        <v>5</v>
      </c>
      <c r="G43" s="12">
        <v>5</v>
      </c>
      <c r="H43" s="12">
        <v>5</v>
      </c>
      <c r="I43" s="12">
        <v>5</v>
      </c>
      <c r="J43" s="12">
        <v>5</v>
      </c>
      <c r="K43" s="13">
        <f t="shared" si="6"/>
        <v>35</v>
      </c>
      <c r="L43" s="12">
        <v>5</v>
      </c>
      <c r="M43" s="12">
        <v>5</v>
      </c>
      <c r="N43" s="12">
        <v>3</v>
      </c>
      <c r="O43" s="12">
        <v>4</v>
      </c>
      <c r="P43" s="12">
        <v>3</v>
      </c>
      <c r="Q43" s="12">
        <v>5</v>
      </c>
      <c r="R43" s="12">
        <v>4</v>
      </c>
      <c r="S43" s="12">
        <v>5</v>
      </c>
      <c r="T43" s="12">
        <v>5</v>
      </c>
      <c r="U43" s="12">
        <v>5</v>
      </c>
      <c r="V43" s="12">
        <v>5</v>
      </c>
      <c r="W43" s="12">
        <v>4</v>
      </c>
      <c r="X43" s="12">
        <v>3</v>
      </c>
      <c r="Y43" s="12">
        <v>4</v>
      </c>
      <c r="Z43" s="12">
        <v>3</v>
      </c>
      <c r="AA43" s="12">
        <v>4</v>
      </c>
      <c r="AB43" s="13">
        <f t="shared" si="7"/>
        <v>67</v>
      </c>
      <c r="AC43" s="14"/>
    </row>
    <row r="44" ht="175.5" spans="1:29">
      <c r="A44" s="21"/>
      <c r="B44" s="18" t="s">
        <v>189</v>
      </c>
      <c r="C44" s="11" t="s">
        <v>85</v>
      </c>
      <c r="D44" s="12">
        <v>5</v>
      </c>
      <c r="E44" s="12">
        <v>5</v>
      </c>
      <c r="F44" s="12">
        <v>5</v>
      </c>
      <c r="G44" s="12">
        <v>5</v>
      </c>
      <c r="H44" s="12">
        <v>5</v>
      </c>
      <c r="I44" s="12">
        <v>5</v>
      </c>
      <c r="J44" s="12">
        <v>5</v>
      </c>
      <c r="K44" s="13">
        <f t="shared" si="6"/>
        <v>35</v>
      </c>
      <c r="L44" s="12">
        <v>5</v>
      </c>
      <c r="M44" s="12">
        <v>5</v>
      </c>
      <c r="N44" s="12">
        <v>2</v>
      </c>
      <c r="O44" s="12">
        <v>4</v>
      </c>
      <c r="P44" s="12">
        <v>3</v>
      </c>
      <c r="Q44" s="12">
        <v>5</v>
      </c>
      <c r="R44" s="12">
        <v>4</v>
      </c>
      <c r="S44" s="12">
        <v>5</v>
      </c>
      <c r="T44" s="12">
        <v>5</v>
      </c>
      <c r="U44" s="12">
        <v>5</v>
      </c>
      <c r="V44" s="12">
        <v>5</v>
      </c>
      <c r="W44" s="12">
        <v>4</v>
      </c>
      <c r="X44" s="12">
        <v>2</v>
      </c>
      <c r="Y44" s="12">
        <v>4</v>
      </c>
      <c r="Z44" s="12">
        <v>3</v>
      </c>
      <c r="AA44" s="12">
        <v>4</v>
      </c>
      <c r="AB44" s="13">
        <f t="shared" si="7"/>
        <v>65</v>
      </c>
      <c r="AC44" s="14"/>
    </row>
    <row r="45" ht="175.5" spans="1:29">
      <c r="A45" s="21"/>
      <c r="B45" s="18" t="s">
        <v>190</v>
      </c>
      <c r="C45" s="11" t="s">
        <v>191</v>
      </c>
      <c r="D45" s="12">
        <v>5</v>
      </c>
      <c r="E45" s="12">
        <v>5</v>
      </c>
      <c r="F45" s="12">
        <v>4</v>
      </c>
      <c r="G45" s="12">
        <v>5</v>
      </c>
      <c r="H45" s="12">
        <v>5</v>
      </c>
      <c r="I45" s="12">
        <v>5</v>
      </c>
      <c r="J45" s="12">
        <v>4</v>
      </c>
      <c r="K45" s="13">
        <f t="shared" si="6"/>
        <v>33</v>
      </c>
      <c r="L45" s="12">
        <v>5</v>
      </c>
      <c r="M45" s="12">
        <v>5</v>
      </c>
      <c r="N45" s="12">
        <v>2</v>
      </c>
      <c r="O45" s="12">
        <v>5</v>
      </c>
      <c r="P45" s="12">
        <v>3</v>
      </c>
      <c r="Q45" s="12">
        <v>5</v>
      </c>
      <c r="R45" s="12">
        <v>4</v>
      </c>
      <c r="S45" s="12">
        <v>5</v>
      </c>
      <c r="T45" s="12">
        <v>5</v>
      </c>
      <c r="U45" s="12">
        <v>5</v>
      </c>
      <c r="V45" s="12">
        <v>5</v>
      </c>
      <c r="W45" s="12">
        <v>4</v>
      </c>
      <c r="X45" s="12">
        <v>2</v>
      </c>
      <c r="Y45" s="12">
        <v>4</v>
      </c>
      <c r="Z45" s="12">
        <v>3</v>
      </c>
      <c r="AA45" s="12">
        <v>4</v>
      </c>
      <c r="AB45" s="13">
        <f t="shared" si="7"/>
        <v>66</v>
      </c>
      <c r="AC45" s="14"/>
    </row>
    <row r="46" ht="189" spans="1:29">
      <c r="A46" s="21"/>
      <c r="B46" s="18" t="s">
        <v>192</v>
      </c>
      <c r="C46" s="11" t="s">
        <v>193</v>
      </c>
      <c r="D46" s="12">
        <v>5</v>
      </c>
      <c r="E46" s="12">
        <v>5</v>
      </c>
      <c r="F46" s="12">
        <v>4</v>
      </c>
      <c r="G46" s="12">
        <v>5</v>
      </c>
      <c r="H46" s="12">
        <v>5</v>
      </c>
      <c r="I46" s="12">
        <v>5</v>
      </c>
      <c r="J46" s="12">
        <v>5</v>
      </c>
      <c r="K46" s="13">
        <f t="shared" si="6"/>
        <v>34</v>
      </c>
      <c r="L46" s="12">
        <v>5</v>
      </c>
      <c r="M46" s="12">
        <v>5</v>
      </c>
      <c r="N46" s="12">
        <v>2</v>
      </c>
      <c r="O46" s="12">
        <v>5</v>
      </c>
      <c r="P46" s="12">
        <v>3</v>
      </c>
      <c r="Q46" s="12">
        <v>5</v>
      </c>
      <c r="R46" s="12">
        <v>4</v>
      </c>
      <c r="S46" s="12">
        <v>5</v>
      </c>
      <c r="T46" s="12">
        <v>5</v>
      </c>
      <c r="U46" s="12">
        <v>5</v>
      </c>
      <c r="V46" s="12">
        <v>5</v>
      </c>
      <c r="W46" s="12">
        <v>4</v>
      </c>
      <c r="X46" s="12">
        <v>2</v>
      </c>
      <c r="Y46" s="12">
        <v>4</v>
      </c>
      <c r="Z46" s="12">
        <v>3</v>
      </c>
      <c r="AA46" s="12">
        <v>4</v>
      </c>
      <c r="AB46" s="13">
        <f t="shared" si="7"/>
        <v>66</v>
      </c>
      <c r="AC46" s="14"/>
    </row>
    <row r="47" ht="216" spans="1:29">
      <c r="A47" s="21"/>
      <c r="B47" s="18" t="s">
        <v>194</v>
      </c>
      <c r="C47" s="11" t="s">
        <v>195</v>
      </c>
      <c r="D47" s="12">
        <v>5</v>
      </c>
      <c r="E47" s="12">
        <v>5</v>
      </c>
      <c r="F47" s="12">
        <v>4</v>
      </c>
      <c r="G47" s="12">
        <v>5</v>
      </c>
      <c r="H47" s="12">
        <v>5</v>
      </c>
      <c r="I47" s="12">
        <v>5</v>
      </c>
      <c r="J47" s="12">
        <v>4</v>
      </c>
      <c r="K47" s="13">
        <f t="shared" si="6"/>
        <v>33</v>
      </c>
      <c r="L47" s="12">
        <v>5</v>
      </c>
      <c r="M47" s="12">
        <v>5</v>
      </c>
      <c r="N47" s="12">
        <v>3</v>
      </c>
      <c r="O47" s="12">
        <v>5</v>
      </c>
      <c r="P47" s="12">
        <v>3</v>
      </c>
      <c r="Q47" s="12">
        <v>5</v>
      </c>
      <c r="R47" s="12">
        <v>4</v>
      </c>
      <c r="S47" s="12">
        <v>5</v>
      </c>
      <c r="T47" s="12">
        <v>5</v>
      </c>
      <c r="U47" s="12">
        <v>5</v>
      </c>
      <c r="V47" s="12">
        <v>5</v>
      </c>
      <c r="W47" s="12">
        <v>4</v>
      </c>
      <c r="X47" s="12">
        <v>3</v>
      </c>
      <c r="Y47" s="12">
        <v>4</v>
      </c>
      <c r="Z47" s="12">
        <v>3</v>
      </c>
      <c r="AA47" s="12">
        <v>4</v>
      </c>
      <c r="AB47" s="13">
        <f t="shared" si="7"/>
        <v>68</v>
      </c>
      <c r="AC47" s="14"/>
    </row>
    <row r="48" ht="157" customHeight="1" spans="1:29">
      <c r="A48" s="21"/>
      <c r="B48" s="18" t="s">
        <v>196</v>
      </c>
      <c r="C48" s="11" t="s">
        <v>197</v>
      </c>
      <c r="D48" s="12">
        <v>5</v>
      </c>
      <c r="E48" s="12">
        <v>5</v>
      </c>
      <c r="F48" s="12">
        <v>4</v>
      </c>
      <c r="G48" s="12">
        <v>5</v>
      </c>
      <c r="H48" s="12">
        <v>5</v>
      </c>
      <c r="I48" s="12">
        <v>5</v>
      </c>
      <c r="J48" s="12">
        <v>5</v>
      </c>
      <c r="K48" s="13">
        <f t="shared" si="6"/>
        <v>34</v>
      </c>
      <c r="L48" s="12">
        <v>5</v>
      </c>
      <c r="M48" s="12">
        <v>5</v>
      </c>
      <c r="N48" s="12">
        <v>3</v>
      </c>
      <c r="O48" s="12">
        <v>5</v>
      </c>
      <c r="P48" s="12">
        <v>3</v>
      </c>
      <c r="Q48" s="12">
        <v>5</v>
      </c>
      <c r="R48" s="12">
        <v>4</v>
      </c>
      <c r="S48" s="12">
        <v>5</v>
      </c>
      <c r="T48" s="12">
        <v>5</v>
      </c>
      <c r="U48" s="12">
        <v>5</v>
      </c>
      <c r="V48" s="12">
        <v>5</v>
      </c>
      <c r="W48" s="12">
        <v>4</v>
      </c>
      <c r="X48" s="12">
        <v>3</v>
      </c>
      <c r="Y48" s="12">
        <v>4</v>
      </c>
      <c r="Z48" s="12">
        <v>3</v>
      </c>
      <c r="AA48" s="12">
        <v>4</v>
      </c>
      <c r="AB48" s="13">
        <f t="shared" si="7"/>
        <v>68</v>
      </c>
      <c r="AC48" s="14"/>
    </row>
    <row r="49" ht="229.5" spans="1:29">
      <c r="A49" s="21"/>
      <c r="B49" s="18" t="s">
        <v>198</v>
      </c>
      <c r="C49" s="11" t="s">
        <v>199</v>
      </c>
      <c r="D49" s="12">
        <v>5</v>
      </c>
      <c r="E49" s="12">
        <v>5</v>
      </c>
      <c r="F49" s="12">
        <v>4</v>
      </c>
      <c r="G49" s="12">
        <v>5</v>
      </c>
      <c r="H49" s="12">
        <v>5</v>
      </c>
      <c r="I49" s="12">
        <v>5</v>
      </c>
      <c r="J49" s="12">
        <v>5</v>
      </c>
      <c r="K49" s="13">
        <f t="shared" si="6"/>
        <v>34</v>
      </c>
      <c r="L49" s="12">
        <v>5</v>
      </c>
      <c r="M49" s="12">
        <v>5</v>
      </c>
      <c r="N49" s="12">
        <v>3</v>
      </c>
      <c r="O49" s="12">
        <v>5</v>
      </c>
      <c r="P49" s="12">
        <v>3</v>
      </c>
      <c r="Q49" s="12">
        <v>5</v>
      </c>
      <c r="R49" s="12">
        <v>4</v>
      </c>
      <c r="S49" s="12">
        <v>5</v>
      </c>
      <c r="T49" s="12">
        <v>5</v>
      </c>
      <c r="U49" s="12">
        <v>5</v>
      </c>
      <c r="V49" s="12">
        <v>5</v>
      </c>
      <c r="W49" s="12">
        <v>4</v>
      </c>
      <c r="X49" s="12">
        <v>3</v>
      </c>
      <c r="Y49" s="12">
        <v>4</v>
      </c>
      <c r="Z49" s="12">
        <v>3</v>
      </c>
      <c r="AA49" s="12">
        <v>4</v>
      </c>
      <c r="AB49" s="13">
        <f t="shared" si="7"/>
        <v>68</v>
      </c>
      <c r="AC49" s="14"/>
    </row>
    <row r="50" ht="202.5" spans="1:29">
      <c r="A50" s="21"/>
      <c r="B50" s="18" t="s">
        <v>200</v>
      </c>
      <c r="C50" s="11" t="s">
        <v>201</v>
      </c>
      <c r="D50" s="12">
        <v>5</v>
      </c>
      <c r="E50" s="12">
        <v>5</v>
      </c>
      <c r="F50" s="12">
        <v>5</v>
      </c>
      <c r="G50" s="12">
        <v>5</v>
      </c>
      <c r="H50" s="12">
        <v>5</v>
      </c>
      <c r="I50" s="12">
        <v>5</v>
      </c>
      <c r="J50" s="12">
        <v>5</v>
      </c>
      <c r="K50" s="13">
        <f t="shared" si="6"/>
        <v>35</v>
      </c>
      <c r="L50" s="12">
        <v>5</v>
      </c>
      <c r="M50" s="12">
        <v>5</v>
      </c>
      <c r="N50" s="12">
        <v>2</v>
      </c>
      <c r="O50" s="12">
        <v>5</v>
      </c>
      <c r="P50" s="12">
        <v>3</v>
      </c>
      <c r="Q50" s="12">
        <v>5</v>
      </c>
      <c r="R50" s="12">
        <v>4</v>
      </c>
      <c r="S50" s="12">
        <v>5</v>
      </c>
      <c r="T50" s="12">
        <v>5</v>
      </c>
      <c r="U50" s="12">
        <v>5</v>
      </c>
      <c r="V50" s="12">
        <v>5</v>
      </c>
      <c r="W50" s="12">
        <v>4</v>
      </c>
      <c r="X50" s="12">
        <v>4</v>
      </c>
      <c r="Y50" s="12">
        <v>4</v>
      </c>
      <c r="Z50" s="12">
        <v>3</v>
      </c>
      <c r="AA50" s="12">
        <v>4</v>
      </c>
      <c r="AB50" s="13">
        <f t="shared" si="7"/>
        <v>68</v>
      </c>
      <c r="AC50" s="14"/>
    </row>
    <row r="51" ht="189" spans="1:29">
      <c r="A51" s="21"/>
      <c r="B51" s="18" t="s">
        <v>202</v>
      </c>
      <c r="C51" s="11" t="s">
        <v>203</v>
      </c>
      <c r="D51" s="12">
        <v>5</v>
      </c>
      <c r="E51" s="12">
        <v>5</v>
      </c>
      <c r="F51" s="12">
        <v>5</v>
      </c>
      <c r="G51" s="12">
        <v>5</v>
      </c>
      <c r="H51" s="12">
        <v>5</v>
      </c>
      <c r="I51" s="12">
        <v>5</v>
      </c>
      <c r="J51" s="12">
        <v>5</v>
      </c>
      <c r="K51" s="13">
        <f t="shared" si="6"/>
        <v>35</v>
      </c>
      <c r="L51" s="12">
        <v>5</v>
      </c>
      <c r="M51" s="12">
        <v>5</v>
      </c>
      <c r="N51" s="12">
        <v>2</v>
      </c>
      <c r="O51" s="12">
        <v>5</v>
      </c>
      <c r="P51" s="12">
        <v>3</v>
      </c>
      <c r="Q51" s="12">
        <v>5</v>
      </c>
      <c r="R51" s="12">
        <v>4</v>
      </c>
      <c r="S51" s="12">
        <v>5</v>
      </c>
      <c r="T51" s="12">
        <v>5</v>
      </c>
      <c r="U51" s="12">
        <v>5</v>
      </c>
      <c r="V51" s="12">
        <v>5</v>
      </c>
      <c r="W51" s="12">
        <v>4</v>
      </c>
      <c r="X51" s="12">
        <v>4</v>
      </c>
      <c r="Y51" s="12">
        <v>4</v>
      </c>
      <c r="Z51" s="12">
        <v>3</v>
      </c>
      <c r="AA51" s="12">
        <v>4</v>
      </c>
      <c r="AB51" s="13">
        <f t="shared" si="7"/>
        <v>68</v>
      </c>
      <c r="AC51" s="14"/>
    </row>
    <row r="52" ht="190.9" spans="1:29">
      <c r="A52" s="21"/>
      <c r="B52" s="18" t="s">
        <v>204</v>
      </c>
      <c r="C52" s="11" t="s">
        <v>205</v>
      </c>
      <c r="D52" s="12">
        <v>5</v>
      </c>
      <c r="E52" s="12">
        <v>5</v>
      </c>
      <c r="F52" s="12">
        <v>4</v>
      </c>
      <c r="G52" s="12">
        <v>5</v>
      </c>
      <c r="H52" s="12">
        <v>5</v>
      </c>
      <c r="I52" s="12">
        <v>5</v>
      </c>
      <c r="J52" s="12">
        <v>5</v>
      </c>
      <c r="K52" s="13">
        <f t="shared" si="6"/>
        <v>34</v>
      </c>
      <c r="L52" s="12">
        <v>5</v>
      </c>
      <c r="M52" s="12">
        <v>5</v>
      </c>
      <c r="N52" s="12">
        <v>2</v>
      </c>
      <c r="O52" s="12">
        <v>5</v>
      </c>
      <c r="P52" s="12">
        <v>3</v>
      </c>
      <c r="Q52" s="12">
        <v>5</v>
      </c>
      <c r="R52" s="12">
        <v>4</v>
      </c>
      <c r="S52" s="12">
        <v>5</v>
      </c>
      <c r="T52" s="12">
        <v>5</v>
      </c>
      <c r="U52" s="12">
        <v>5</v>
      </c>
      <c r="V52" s="12">
        <v>5</v>
      </c>
      <c r="W52" s="12">
        <v>4</v>
      </c>
      <c r="X52" s="12">
        <v>4</v>
      </c>
      <c r="Y52" s="12">
        <v>4</v>
      </c>
      <c r="Z52" s="12">
        <v>3</v>
      </c>
      <c r="AA52" s="12">
        <v>4</v>
      </c>
      <c r="AB52" s="13">
        <f t="shared" si="7"/>
        <v>68</v>
      </c>
      <c r="AC52" s="14"/>
    </row>
    <row r="53" ht="162" spans="1:29">
      <c r="A53" s="21"/>
      <c r="B53" s="18" t="s">
        <v>206</v>
      </c>
      <c r="C53" s="11" t="s">
        <v>207</v>
      </c>
      <c r="D53" s="12">
        <v>4</v>
      </c>
      <c r="E53" s="12">
        <v>5</v>
      </c>
      <c r="F53" s="12">
        <v>5</v>
      </c>
      <c r="G53" s="12">
        <v>5</v>
      </c>
      <c r="H53" s="12">
        <v>5</v>
      </c>
      <c r="I53" s="12">
        <v>5</v>
      </c>
      <c r="J53" s="12">
        <v>5</v>
      </c>
      <c r="K53" s="13">
        <f t="shared" si="6"/>
        <v>34</v>
      </c>
      <c r="L53" s="12">
        <v>4</v>
      </c>
      <c r="M53" s="12">
        <v>5</v>
      </c>
      <c r="N53" s="12">
        <v>3</v>
      </c>
      <c r="O53" s="12">
        <v>5</v>
      </c>
      <c r="P53" s="12">
        <v>3</v>
      </c>
      <c r="Q53" s="12">
        <v>5</v>
      </c>
      <c r="R53" s="12">
        <v>4</v>
      </c>
      <c r="S53" s="12">
        <v>3</v>
      </c>
      <c r="T53" s="12">
        <v>5</v>
      </c>
      <c r="U53" s="12">
        <v>5</v>
      </c>
      <c r="V53" s="12">
        <v>5</v>
      </c>
      <c r="W53" s="12">
        <v>4</v>
      </c>
      <c r="X53" s="12">
        <v>2</v>
      </c>
      <c r="Y53" s="12">
        <v>4</v>
      </c>
      <c r="Z53" s="12">
        <v>3</v>
      </c>
      <c r="AA53" s="12">
        <v>4</v>
      </c>
      <c r="AB53" s="13">
        <f t="shared" si="7"/>
        <v>64</v>
      </c>
      <c r="AC53" s="14"/>
    </row>
    <row r="54" ht="162" spans="1:29">
      <c r="A54" s="21"/>
      <c r="B54" s="18" t="s">
        <v>208</v>
      </c>
      <c r="C54" s="11" t="s">
        <v>209</v>
      </c>
      <c r="D54" s="12">
        <v>4</v>
      </c>
      <c r="E54" s="12">
        <v>5</v>
      </c>
      <c r="F54" s="12">
        <v>5</v>
      </c>
      <c r="G54" s="12">
        <v>5</v>
      </c>
      <c r="H54" s="12">
        <v>5</v>
      </c>
      <c r="I54" s="12">
        <v>5</v>
      </c>
      <c r="J54" s="12">
        <v>5</v>
      </c>
      <c r="K54" s="13">
        <f t="shared" si="6"/>
        <v>34</v>
      </c>
      <c r="L54" s="12">
        <v>4</v>
      </c>
      <c r="M54" s="12">
        <v>5</v>
      </c>
      <c r="N54" s="12">
        <v>3</v>
      </c>
      <c r="O54" s="12">
        <v>5</v>
      </c>
      <c r="P54" s="12">
        <v>3</v>
      </c>
      <c r="Q54" s="12">
        <v>5</v>
      </c>
      <c r="R54" s="12">
        <v>4</v>
      </c>
      <c r="S54" s="12">
        <v>3</v>
      </c>
      <c r="T54" s="12">
        <v>5</v>
      </c>
      <c r="U54" s="12">
        <v>5</v>
      </c>
      <c r="V54" s="12">
        <v>5</v>
      </c>
      <c r="W54" s="12">
        <v>4</v>
      </c>
      <c r="X54" s="12">
        <v>2</v>
      </c>
      <c r="Y54" s="12">
        <v>4</v>
      </c>
      <c r="Z54" s="12">
        <v>3</v>
      </c>
      <c r="AA54" s="12">
        <v>4</v>
      </c>
      <c r="AB54" s="13">
        <f t="shared" si="7"/>
        <v>64</v>
      </c>
      <c r="AC54" s="14"/>
    </row>
    <row r="55" ht="175.5" spans="1:29">
      <c r="A55" s="21"/>
      <c r="B55" s="18" t="s">
        <v>210</v>
      </c>
      <c r="C55" s="11" t="s">
        <v>211</v>
      </c>
      <c r="D55" s="12">
        <v>4</v>
      </c>
      <c r="E55" s="12">
        <v>5</v>
      </c>
      <c r="F55" s="12">
        <v>5</v>
      </c>
      <c r="G55" s="12">
        <v>5</v>
      </c>
      <c r="H55" s="12">
        <v>5</v>
      </c>
      <c r="I55" s="12">
        <v>5</v>
      </c>
      <c r="J55" s="12">
        <v>5</v>
      </c>
      <c r="K55" s="13">
        <f t="shared" si="6"/>
        <v>34</v>
      </c>
      <c r="L55" s="12">
        <v>4</v>
      </c>
      <c r="M55" s="12">
        <v>5</v>
      </c>
      <c r="N55" s="12">
        <v>3</v>
      </c>
      <c r="O55" s="12">
        <v>5</v>
      </c>
      <c r="P55" s="12">
        <v>3</v>
      </c>
      <c r="Q55" s="12">
        <v>5</v>
      </c>
      <c r="R55" s="12">
        <v>4</v>
      </c>
      <c r="S55" s="12">
        <v>3</v>
      </c>
      <c r="T55" s="12">
        <v>5</v>
      </c>
      <c r="U55" s="12">
        <v>5</v>
      </c>
      <c r="V55" s="12">
        <v>5</v>
      </c>
      <c r="W55" s="12">
        <v>4</v>
      </c>
      <c r="X55" s="12">
        <v>2</v>
      </c>
      <c r="Y55" s="12">
        <v>4</v>
      </c>
      <c r="Z55" s="12">
        <v>3</v>
      </c>
      <c r="AA55" s="12">
        <v>4</v>
      </c>
      <c r="AB55" s="13">
        <f t="shared" si="7"/>
        <v>64</v>
      </c>
      <c r="AC55" s="14"/>
    </row>
    <row r="56" ht="197" customHeight="1" spans="1:29">
      <c r="A56" s="15"/>
      <c r="B56" s="10" t="s">
        <v>255</v>
      </c>
      <c r="C56" s="11" t="s">
        <v>256</v>
      </c>
      <c r="D56" s="16">
        <v>5</v>
      </c>
      <c r="E56" s="16">
        <v>5</v>
      </c>
      <c r="F56" s="16">
        <v>5</v>
      </c>
      <c r="G56" s="16">
        <v>5</v>
      </c>
      <c r="H56" s="16">
        <v>5</v>
      </c>
      <c r="I56" s="16">
        <v>5</v>
      </c>
      <c r="J56" s="16">
        <v>5</v>
      </c>
      <c r="K56" s="13">
        <f t="shared" si="6"/>
        <v>35</v>
      </c>
      <c r="L56" s="16">
        <v>4</v>
      </c>
      <c r="M56" s="16">
        <v>4</v>
      </c>
      <c r="N56" s="16">
        <v>3</v>
      </c>
      <c r="O56" s="16">
        <v>5</v>
      </c>
      <c r="P56" s="16">
        <v>2</v>
      </c>
      <c r="Q56" s="16">
        <v>4</v>
      </c>
      <c r="R56" s="16">
        <v>4</v>
      </c>
      <c r="S56" s="16">
        <v>5</v>
      </c>
      <c r="T56" s="16">
        <v>5</v>
      </c>
      <c r="U56" s="16">
        <v>5</v>
      </c>
      <c r="V56" s="16">
        <v>5</v>
      </c>
      <c r="W56" s="16">
        <v>3</v>
      </c>
      <c r="X56" s="16">
        <v>3</v>
      </c>
      <c r="Y56" s="16">
        <v>4</v>
      </c>
      <c r="Z56" s="16">
        <v>3</v>
      </c>
      <c r="AA56" s="16">
        <v>3</v>
      </c>
      <c r="AB56" s="13">
        <f t="shared" si="7"/>
        <v>62</v>
      </c>
      <c r="AC56" s="14"/>
    </row>
    <row r="57" ht="195" customHeight="1" spans="1:29">
      <c r="A57" s="15"/>
      <c r="B57" s="10" t="s">
        <v>257</v>
      </c>
      <c r="C57" s="11" t="s">
        <v>258</v>
      </c>
      <c r="D57" s="16">
        <v>5</v>
      </c>
      <c r="E57" s="16">
        <v>5</v>
      </c>
      <c r="F57" s="16">
        <v>5</v>
      </c>
      <c r="G57" s="16">
        <v>5</v>
      </c>
      <c r="H57" s="16">
        <v>5</v>
      </c>
      <c r="I57" s="16">
        <v>5</v>
      </c>
      <c r="J57" s="16">
        <v>5</v>
      </c>
      <c r="K57" s="13">
        <f t="shared" si="6"/>
        <v>35</v>
      </c>
      <c r="L57" s="16">
        <v>4</v>
      </c>
      <c r="M57" s="16">
        <v>4</v>
      </c>
      <c r="N57" s="16">
        <v>3</v>
      </c>
      <c r="O57" s="16">
        <v>5</v>
      </c>
      <c r="P57" s="16">
        <v>2</v>
      </c>
      <c r="Q57" s="16">
        <v>4</v>
      </c>
      <c r="R57" s="16">
        <v>4</v>
      </c>
      <c r="S57" s="16">
        <v>5</v>
      </c>
      <c r="T57" s="16">
        <v>5</v>
      </c>
      <c r="U57" s="16">
        <v>5</v>
      </c>
      <c r="V57" s="16">
        <v>5</v>
      </c>
      <c r="W57" s="16">
        <v>3</v>
      </c>
      <c r="X57" s="16">
        <v>3</v>
      </c>
      <c r="Y57" s="16">
        <v>4</v>
      </c>
      <c r="Z57" s="16">
        <v>3</v>
      </c>
      <c r="AA57" s="16">
        <v>3</v>
      </c>
      <c r="AB57" s="13">
        <f t="shared" si="7"/>
        <v>62</v>
      </c>
      <c r="AC57" s="14"/>
    </row>
    <row r="58" ht="181" customHeight="1" spans="1:29">
      <c r="A58" s="22"/>
      <c r="B58" s="10" t="s">
        <v>259</v>
      </c>
      <c r="C58" s="11" t="s">
        <v>260</v>
      </c>
      <c r="D58" s="16">
        <v>5</v>
      </c>
      <c r="E58" s="16">
        <v>5</v>
      </c>
      <c r="F58" s="16">
        <v>5</v>
      </c>
      <c r="G58" s="16">
        <v>5</v>
      </c>
      <c r="H58" s="16">
        <v>5</v>
      </c>
      <c r="I58" s="16">
        <v>5</v>
      </c>
      <c r="J58" s="16">
        <v>5</v>
      </c>
      <c r="K58" s="13">
        <f t="shared" si="6"/>
        <v>35</v>
      </c>
      <c r="L58" s="16">
        <v>4</v>
      </c>
      <c r="M58" s="16">
        <v>4</v>
      </c>
      <c r="N58" s="16">
        <v>3</v>
      </c>
      <c r="O58" s="16">
        <v>5</v>
      </c>
      <c r="P58" s="16">
        <v>2</v>
      </c>
      <c r="Q58" s="16">
        <v>5</v>
      </c>
      <c r="R58" s="16">
        <v>4</v>
      </c>
      <c r="S58" s="16">
        <v>5</v>
      </c>
      <c r="T58" s="16">
        <v>5</v>
      </c>
      <c r="U58" s="16">
        <v>5</v>
      </c>
      <c r="V58" s="16">
        <v>5</v>
      </c>
      <c r="W58" s="16">
        <v>3</v>
      </c>
      <c r="X58" s="16">
        <v>3</v>
      </c>
      <c r="Y58" s="16">
        <v>4</v>
      </c>
      <c r="Z58" s="16">
        <v>3</v>
      </c>
      <c r="AA58" s="16">
        <v>3</v>
      </c>
      <c r="AB58" s="13">
        <f t="shared" si="7"/>
        <v>63</v>
      </c>
      <c r="AC58" s="14"/>
    </row>
    <row r="59" ht="175.5" spans="1:29">
      <c r="A59" s="22"/>
      <c r="B59" s="10" t="s">
        <v>261</v>
      </c>
      <c r="C59" s="11" t="s">
        <v>262</v>
      </c>
      <c r="D59" s="16">
        <v>5</v>
      </c>
      <c r="E59" s="16">
        <v>5</v>
      </c>
      <c r="F59" s="16">
        <v>5</v>
      </c>
      <c r="G59" s="16">
        <v>5</v>
      </c>
      <c r="H59" s="16">
        <v>5</v>
      </c>
      <c r="I59" s="16">
        <v>5</v>
      </c>
      <c r="J59" s="16">
        <v>5</v>
      </c>
      <c r="K59" s="13">
        <f t="shared" si="6"/>
        <v>35</v>
      </c>
      <c r="L59" s="16">
        <v>4</v>
      </c>
      <c r="M59" s="16">
        <v>4</v>
      </c>
      <c r="N59" s="16">
        <v>3</v>
      </c>
      <c r="O59" s="16">
        <v>5</v>
      </c>
      <c r="P59" s="16">
        <v>2</v>
      </c>
      <c r="Q59" s="16">
        <v>5</v>
      </c>
      <c r="R59" s="16">
        <v>4</v>
      </c>
      <c r="S59" s="16">
        <v>5</v>
      </c>
      <c r="T59" s="16">
        <v>5</v>
      </c>
      <c r="U59" s="16">
        <v>5</v>
      </c>
      <c r="V59" s="16">
        <v>5</v>
      </c>
      <c r="W59" s="16">
        <v>3</v>
      </c>
      <c r="X59" s="16">
        <v>3</v>
      </c>
      <c r="Y59" s="16">
        <v>4</v>
      </c>
      <c r="Z59" s="16">
        <v>3</v>
      </c>
      <c r="AA59" s="16">
        <v>3</v>
      </c>
      <c r="AB59" s="13">
        <f t="shared" si="7"/>
        <v>63</v>
      </c>
      <c r="AC59" s="14"/>
    </row>
    <row r="60" spans="1:29">
      <c r="D60">
        <f>AVERAGE(D42:D59)</f>
        <v>4.83333333333333</v>
      </c>
      <c r="E60">
        <f t="shared" ref="E60:AB60" si="8">AVERAGE(E42:E59)</f>
        <v>5</v>
      </c>
      <c r="F60">
        <f t="shared" si="8"/>
        <v>4.66666666666667</v>
      </c>
      <c r="G60">
        <f t="shared" si="8"/>
        <v>5</v>
      </c>
      <c r="H60">
        <f t="shared" si="8"/>
        <v>5</v>
      </c>
      <c r="I60">
        <f t="shared" si="8"/>
        <v>5</v>
      </c>
      <c r="J60">
        <f t="shared" si="8"/>
        <v>4.88888888888889</v>
      </c>
      <c r="K60">
        <f t="shared" si="8"/>
        <v>34.3888888888889</v>
      </c>
      <c r="L60">
        <f t="shared" si="8"/>
        <v>4.61111111111111</v>
      </c>
      <c r="M60">
        <f t="shared" si="8"/>
        <v>4.77777777777778</v>
      </c>
      <c r="N60">
        <f t="shared" si="8"/>
        <v>2.61111111111111</v>
      </c>
      <c r="O60">
        <f t="shared" si="8"/>
        <v>4.88888888888889</v>
      </c>
      <c r="P60">
        <f t="shared" si="8"/>
        <v>2.77777777777778</v>
      </c>
      <c r="Q60">
        <f t="shared" si="8"/>
        <v>4.88888888888889</v>
      </c>
      <c r="R60">
        <f t="shared" si="8"/>
        <v>4</v>
      </c>
      <c r="S60">
        <f t="shared" si="8"/>
        <v>4.66666666666667</v>
      </c>
      <c r="T60">
        <f t="shared" si="8"/>
        <v>5</v>
      </c>
      <c r="U60">
        <f t="shared" si="8"/>
        <v>5</v>
      </c>
      <c r="V60">
        <f t="shared" si="8"/>
        <v>5</v>
      </c>
      <c r="W60">
        <f t="shared" si="8"/>
        <v>3.77777777777778</v>
      </c>
      <c r="X60">
        <f t="shared" si="8"/>
        <v>2.83333333333333</v>
      </c>
      <c r="Y60">
        <f t="shared" si="8"/>
        <v>4</v>
      </c>
      <c r="Z60">
        <f t="shared" si="8"/>
        <v>3</v>
      </c>
      <c r="AA60">
        <f t="shared" si="8"/>
        <v>3.77777777777778</v>
      </c>
      <c r="AB60">
        <f t="shared" si="8"/>
        <v>65.6111111111111</v>
      </c>
    </row>
    <row r="62" ht="162" spans="1:29">
      <c r="A62" s="15" t="s">
        <v>108</v>
      </c>
      <c r="B62" s="10" t="s">
        <v>212</v>
      </c>
      <c r="C62" s="11" t="s">
        <v>213</v>
      </c>
      <c r="D62" s="12">
        <v>5</v>
      </c>
      <c r="E62" s="12">
        <v>5</v>
      </c>
      <c r="F62" s="12">
        <v>4</v>
      </c>
      <c r="G62" s="12">
        <v>5</v>
      </c>
      <c r="H62" s="12">
        <v>5</v>
      </c>
      <c r="I62" s="12">
        <v>5</v>
      </c>
      <c r="J62" s="12">
        <v>5</v>
      </c>
      <c r="K62" s="13">
        <f t="shared" ref="K62:K67" si="9">SUM(D62:J62)</f>
        <v>34</v>
      </c>
      <c r="L62" s="12">
        <v>5</v>
      </c>
      <c r="M62" s="12">
        <v>5</v>
      </c>
      <c r="N62" s="12">
        <v>2</v>
      </c>
      <c r="O62" s="12">
        <v>5</v>
      </c>
      <c r="P62" s="12">
        <v>2</v>
      </c>
      <c r="Q62" s="12">
        <v>5</v>
      </c>
      <c r="R62" s="12">
        <v>4</v>
      </c>
      <c r="S62" s="12">
        <v>5</v>
      </c>
      <c r="T62" s="12">
        <v>5</v>
      </c>
      <c r="U62" s="12">
        <v>5</v>
      </c>
      <c r="V62" s="12">
        <v>5</v>
      </c>
      <c r="W62" s="12">
        <v>4</v>
      </c>
      <c r="X62" s="12">
        <v>2</v>
      </c>
      <c r="Y62" s="12">
        <v>4</v>
      </c>
      <c r="Z62" s="12">
        <v>3</v>
      </c>
      <c r="AA62" s="12">
        <v>5</v>
      </c>
      <c r="AB62" s="13">
        <f t="shared" ref="AB62:AB67" si="10">SUM(L62:AA62)</f>
        <v>66</v>
      </c>
      <c r="AC62" s="14"/>
    </row>
    <row r="63" ht="148.5" spans="1:29">
      <c r="A63" s="15"/>
      <c r="B63" s="10" t="s">
        <v>214</v>
      </c>
      <c r="C63" s="11" t="s">
        <v>215</v>
      </c>
      <c r="D63" s="12">
        <v>5</v>
      </c>
      <c r="E63" s="12">
        <v>5</v>
      </c>
      <c r="F63" s="12">
        <v>5</v>
      </c>
      <c r="G63" s="12">
        <v>5</v>
      </c>
      <c r="H63" s="12">
        <v>5</v>
      </c>
      <c r="I63" s="12">
        <v>5</v>
      </c>
      <c r="J63" s="12">
        <v>5</v>
      </c>
      <c r="K63" s="13">
        <f t="shared" si="9"/>
        <v>35</v>
      </c>
      <c r="L63" s="12">
        <v>5</v>
      </c>
      <c r="M63" s="12">
        <v>5</v>
      </c>
      <c r="N63" s="12">
        <v>2</v>
      </c>
      <c r="O63" s="12">
        <v>5</v>
      </c>
      <c r="P63" s="12">
        <v>2</v>
      </c>
      <c r="Q63" s="12">
        <v>5</v>
      </c>
      <c r="R63" s="12">
        <v>4</v>
      </c>
      <c r="S63" s="12">
        <v>5</v>
      </c>
      <c r="T63" s="12">
        <v>5</v>
      </c>
      <c r="U63" s="12">
        <v>5</v>
      </c>
      <c r="V63" s="12">
        <v>5</v>
      </c>
      <c r="W63" s="12">
        <v>4</v>
      </c>
      <c r="X63" s="12">
        <v>2</v>
      </c>
      <c r="Y63" s="12">
        <v>4</v>
      </c>
      <c r="Z63" s="12">
        <v>3</v>
      </c>
      <c r="AA63" s="12">
        <v>5</v>
      </c>
      <c r="AB63" s="13">
        <f t="shared" si="10"/>
        <v>66</v>
      </c>
      <c r="AC63" s="14"/>
    </row>
    <row r="64" ht="148.5" spans="1:29">
      <c r="A64" s="15"/>
      <c r="B64" s="10" t="s">
        <v>216</v>
      </c>
      <c r="C64" s="11" t="s">
        <v>217</v>
      </c>
      <c r="D64" s="12">
        <v>5</v>
      </c>
      <c r="E64" s="12">
        <v>5</v>
      </c>
      <c r="F64" s="12">
        <v>5</v>
      </c>
      <c r="G64" s="12">
        <v>5</v>
      </c>
      <c r="H64" s="12">
        <v>5</v>
      </c>
      <c r="I64" s="12">
        <v>5</v>
      </c>
      <c r="J64" s="12">
        <v>5</v>
      </c>
      <c r="K64" s="13">
        <f t="shared" si="9"/>
        <v>35</v>
      </c>
      <c r="L64" s="12">
        <v>5</v>
      </c>
      <c r="M64" s="12">
        <v>5</v>
      </c>
      <c r="N64" s="12">
        <v>2</v>
      </c>
      <c r="O64" s="12">
        <v>5</v>
      </c>
      <c r="P64" s="12">
        <v>2</v>
      </c>
      <c r="Q64" s="12">
        <v>5</v>
      </c>
      <c r="R64" s="12">
        <v>4</v>
      </c>
      <c r="S64" s="12">
        <v>3</v>
      </c>
      <c r="T64" s="12">
        <v>5</v>
      </c>
      <c r="U64" s="12">
        <v>5</v>
      </c>
      <c r="V64" s="12">
        <v>5</v>
      </c>
      <c r="W64" s="12">
        <v>4</v>
      </c>
      <c r="X64" s="12">
        <v>2</v>
      </c>
      <c r="Y64" s="12">
        <v>3</v>
      </c>
      <c r="Z64" s="12">
        <v>3</v>
      </c>
      <c r="AA64" s="12">
        <v>5</v>
      </c>
      <c r="AB64" s="13">
        <f t="shared" si="10"/>
        <v>63</v>
      </c>
      <c r="AC64" s="14"/>
    </row>
    <row r="65" ht="135" spans="1:29">
      <c r="A65" s="15"/>
      <c r="B65" s="10" t="s">
        <v>263</v>
      </c>
      <c r="C65" s="11" t="s">
        <v>264</v>
      </c>
      <c r="D65" s="16">
        <v>5</v>
      </c>
      <c r="E65" s="16">
        <v>5</v>
      </c>
      <c r="F65" s="16">
        <v>5</v>
      </c>
      <c r="G65" s="16">
        <v>5</v>
      </c>
      <c r="H65" s="16">
        <v>5</v>
      </c>
      <c r="I65" s="16">
        <v>5</v>
      </c>
      <c r="J65" s="16">
        <v>5</v>
      </c>
      <c r="K65" s="13">
        <f t="shared" si="9"/>
        <v>35</v>
      </c>
      <c r="L65" s="16">
        <v>5</v>
      </c>
      <c r="M65" s="16">
        <v>5</v>
      </c>
      <c r="N65" s="16">
        <v>3</v>
      </c>
      <c r="O65" s="16">
        <v>5</v>
      </c>
      <c r="P65" s="16">
        <v>3</v>
      </c>
      <c r="Q65" s="16">
        <v>4</v>
      </c>
      <c r="R65" s="16">
        <v>4</v>
      </c>
      <c r="S65" s="16">
        <v>5</v>
      </c>
      <c r="T65" s="16">
        <v>5</v>
      </c>
      <c r="U65" s="16">
        <v>5</v>
      </c>
      <c r="V65" s="16">
        <v>5</v>
      </c>
      <c r="W65" s="16">
        <v>4</v>
      </c>
      <c r="X65" s="16">
        <v>3</v>
      </c>
      <c r="Y65" s="16">
        <v>4</v>
      </c>
      <c r="Z65" s="16">
        <v>3</v>
      </c>
      <c r="AA65" s="16">
        <v>4</v>
      </c>
      <c r="AB65" s="13">
        <f t="shared" si="10"/>
        <v>67</v>
      </c>
      <c r="AC65" s="14"/>
    </row>
    <row r="66" ht="148.5" spans="1:29">
      <c r="A66" s="15"/>
      <c r="B66" s="10" t="s">
        <v>265</v>
      </c>
      <c r="C66" s="11" t="s">
        <v>266</v>
      </c>
      <c r="D66" s="16">
        <v>5</v>
      </c>
      <c r="E66" s="16">
        <v>5</v>
      </c>
      <c r="F66" s="16">
        <v>5</v>
      </c>
      <c r="G66" s="16">
        <v>5</v>
      </c>
      <c r="H66" s="16">
        <v>5</v>
      </c>
      <c r="I66" s="16">
        <v>5</v>
      </c>
      <c r="J66" s="16">
        <v>5</v>
      </c>
      <c r="K66" s="13">
        <f t="shared" si="9"/>
        <v>35</v>
      </c>
      <c r="L66" s="16">
        <v>5</v>
      </c>
      <c r="M66" s="16">
        <v>5</v>
      </c>
      <c r="N66" s="16">
        <v>3</v>
      </c>
      <c r="O66" s="16">
        <v>5</v>
      </c>
      <c r="P66" s="16">
        <v>3</v>
      </c>
      <c r="Q66" s="16">
        <v>4</v>
      </c>
      <c r="R66" s="16">
        <v>4</v>
      </c>
      <c r="S66" s="16">
        <v>5</v>
      </c>
      <c r="T66" s="16">
        <v>5</v>
      </c>
      <c r="U66" s="16">
        <v>5</v>
      </c>
      <c r="V66" s="16">
        <v>5</v>
      </c>
      <c r="W66" s="16">
        <v>4</v>
      </c>
      <c r="X66" s="16">
        <v>3</v>
      </c>
      <c r="Y66" s="16">
        <v>4</v>
      </c>
      <c r="Z66" s="16">
        <v>3</v>
      </c>
      <c r="AA66" s="16">
        <v>4</v>
      </c>
      <c r="AB66" s="13">
        <f t="shared" si="10"/>
        <v>67</v>
      </c>
      <c r="AC66" s="14"/>
    </row>
    <row r="67" ht="121.5" spans="1:29">
      <c r="A67" s="15"/>
      <c r="B67" s="10" t="s">
        <v>267</v>
      </c>
      <c r="C67" s="11" t="s">
        <v>268</v>
      </c>
      <c r="D67" s="16">
        <v>5</v>
      </c>
      <c r="E67" s="16">
        <v>5</v>
      </c>
      <c r="F67" s="16">
        <v>5</v>
      </c>
      <c r="G67" s="16">
        <v>5</v>
      </c>
      <c r="H67" s="16">
        <v>5</v>
      </c>
      <c r="I67" s="16">
        <v>5</v>
      </c>
      <c r="J67" s="16">
        <v>5</v>
      </c>
      <c r="K67" s="13">
        <f t="shared" si="9"/>
        <v>35</v>
      </c>
      <c r="L67" s="16">
        <v>5</v>
      </c>
      <c r="M67" s="16">
        <v>5</v>
      </c>
      <c r="N67" s="16">
        <v>3</v>
      </c>
      <c r="O67" s="16">
        <v>5</v>
      </c>
      <c r="P67" s="16">
        <v>3</v>
      </c>
      <c r="Q67" s="16">
        <v>4</v>
      </c>
      <c r="R67" s="16">
        <v>4</v>
      </c>
      <c r="S67" s="16">
        <v>5</v>
      </c>
      <c r="T67" s="16">
        <v>5</v>
      </c>
      <c r="U67" s="16">
        <v>5</v>
      </c>
      <c r="V67" s="16">
        <v>5</v>
      </c>
      <c r="W67" s="16">
        <v>4</v>
      </c>
      <c r="X67" s="16">
        <v>3</v>
      </c>
      <c r="Y67" s="16">
        <v>4</v>
      </c>
      <c r="Z67" s="16">
        <v>3</v>
      </c>
      <c r="AA67" s="16">
        <v>4</v>
      </c>
      <c r="AB67" s="13">
        <f t="shared" si="10"/>
        <v>67</v>
      </c>
      <c r="AC67" s="14"/>
    </row>
    <row r="68" spans="1:29">
      <c r="D68">
        <f>AVERAGE(D62:D67)</f>
        <v>5</v>
      </c>
      <c r="E68">
        <f t="shared" ref="E68:AB68" si="11">AVERAGE(E62:E67)</f>
        <v>5</v>
      </c>
      <c r="F68">
        <f t="shared" si="11"/>
        <v>4.83333333333333</v>
      </c>
      <c r="G68">
        <f t="shared" si="11"/>
        <v>5</v>
      </c>
      <c r="H68">
        <f t="shared" si="11"/>
        <v>5</v>
      </c>
      <c r="I68">
        <f t="shared" si="11"/>
        <v>5</v>
      </c>
      <c r="J68">
        <f t="shared" si="11"/>
        <v>5</v>
      </c>
      <c r="K68">
        <f t="shared" si="11"/>
        <v>34.8333333333333</v>
      </c>
      <c r="L68">
        <f t="shared" si="11"/>
        <v>5</v>
      </c>
      <c r="M68">
        <f t="shared" si="11"/>
        <v>5</v>
      </c>
      <c r="N68">
        <f t="shared" si="11"/>
        <v>2.5</v>
      </c>
      <c r="O68">
        <f t="shared" si="11"/>
        <v>5</v>
      </c>
      <c r="P68">
        <f t="shared" si="11"/>
        <v>2.5</v>
      </c>
      <c r="Q68">
        <f t="shared" si="11"/>
        <v>4.5</v>
      </c>
      <c r="R68">
        <f t="shared" si="11"/>
        <v>4</v>
      </c>
      <c r="S68">
        <f t="shared" si="11"/>
        <v>4.66666666666667</v>
      </c>
      <c r="T68">
        <f t="shared" si="11"/>
        <v>5</v>
      </c>
      <c r="U68">
        <f t="shared" si="11"/>
        <v>5</v>
      </c>
      <c r="V68">
        <f t="shared" si="11"/>
        <v>5</v>
      </c>
      <c r="W68">
        <f t="shared" si="11"/>
        <v>4</v>
      </c>
      <c r="X68">
        <f t="shared" si="11"/>
        <v>2.5</v>
      </c>
      <c r="Y68">
        <f t="shared" si="11"/>
        <v>3.83333333333333</v>
      </c>
      <c r="Z68">
        <f t="shared" si="11"/>
        <v>3</v>
      </c>
      <c r="AA68">
        <f t="shared" si="11"/>
        <v>4.5</v>
      </c>
      <c r="AB68">
        <f t="shared" si="11"/>
        <v>66</v>
      </c>
    </row>
    <row r="70" ht="135" spans="1:29">
      <c r="A70" s="23" t="s">
        <v>218</v>
      </c>
      <c r="B70" s="10" t="s">
        <v>219</v>
      </c>
      <c r="C70" s="11" t="s">
        <v>220</v>
      </c>
      <c r="D70" s="12">
        <v>5</v>
      </c>
      <c r="E70" s="12">
        <v>5</v>
      </c>
      <c r="F70" s="12">
        <v>4</v>
      </c>
      <c r="G70" s="12">
        <v>5</v>
      </c>
      <c r="H70" s="12">
        <v>5</v>
      </c>
      <c r="I70" s="12">
        <v>5</v>
      </c>
      <c r="J70" s="12">
        <v>5</v>
      </c>
      <c r="K70" s="13">
        <f t="shared" ref="K70:K80" si="12">SUM(D70:J70)</f>
        <v>34</v>
      </c>
      <c r="L70" s="12">
        <v>5</v>
      </c>
      <c r="M70" s="12">
        <v>5</v>
      </c>
      <c r="N70" s="12">
        <v>4</v>
      </c>
      <c r="O70" s="12">
        <v>5</v>
      </c>
      <c r="P70" s="12">
        <v>2</v>
      </c>
      <c r="Q70" s="12">
        <v>4</v>
      </c>
      <c r="R70" s="12">
        <v>4</v>
      </c>
      <c r="S70" s="12">
        <v>1</v>
      </c>
      <c r="T70" s="12">
        <v>5</v>
      </c>
      <c r="U70" s="12">
        <v>5</v>
      </c>
      <c r="V70" s="12">
        <v>5</v>
      </c>
      <c r="W70" s="12">
        <v>4</v>
      </c>
      <c r="X70" s="12">
        <v>2</v>
      </c>
      <c r="Y70" s="12">
        <v>3</v>
      </c>
      <c r="Z70" s="12">
        <v>3</v>
      </c>
      <c r="AA70" s="12">
        <v>3</v>
      </c>
      <c r="AB70" s="13">
        <f t="shared" ref="AB70:AB80" si="13">SUM(L70:AA70)</f>
        <v>60</v>
      </c>
      <c r="AC70" s="14"/>
    </row>
    <row r="71" customFormat="1" ht="195" customHeight="1" spans="1:29">
      <c r="A71" s="24"/>
      <c r="B71" s="10" t="s">
        <v>221</v>
      </c>
      <c r="C71" s="11" t="s">
        <v>222</v>
      </c>
      <c r="D71" s="12">
        <v>5</v>
      </c>
      <c r="E71" s="12">
        <v>5</v>
      </c>
      <c r="F71" s="12">
        <v>5</v>
      </c>
      <c r="G71" s="12">
        <v>5</v>
      </c>
      <c r="H71" s="12">
        <v>5</v>
      </c>
      <c r="I71" s="12">
        <v>5</v>
      </c>
      <c r="J71" s="12">
        <v>5</v>
      </c>
      <c r="K71" s="13">
        <f t="shared" si="12"/>
        <v>35</v>
      </c>
      <c r="L71" s="12">
        <v>5</v>
      </c>
      <c r="M71" s="12">
        <v>5</v>
      </c>
      <c r="N71" s="12">
        <v>2</v>
      </c>
      <c r="O71" s="12">
        <v>5</v>
      </c>
      <c r="P71" s="12">
        <v>2</v>
      </c>
      <c r="Q71" s="12">
        <v>4</v>
      </c>
      <c r="R71" s="12">
        <v>4</v>
      </c>
      <c r="S71" s="12">
        <v>3</v>
      </c>
      <c r="T71" s="12">
        <v>5</v>
      </c>
      <c r="U71" s="12">
        <v>5</v>
      </c>
      <c r="V71" s="12">
        <v>5</v>
      </c>
      <c r="W71" s="12">
        <v>4</v>
      </c>
      <c r="X71" s="12">
        <v>2</v>
      </c>
      <c r="Y71" s="12">
        <v>4</v>
      </c>
      <c r="Z71" s="12">
        <v>3</v>
      </c>
      <c r="AA71" s="12">
        <v>3</v>
      </c>
      <c r="AB71" s="13">
        <f t="shared" si="13"/>
        <v>61</v>
      </c>
      <c r="AC71" s="14"/>
    </row>
    <row r="72" customFormat="1" ht="223" customHeight="1" spans="1:29">
      <c r="A72" s="24"/>
      <c r="B72" s="10" t="s">
        <v>223</v>
      </c>
      <c r="C72" s="11" t="s">
        <v>224</v>
      </c>
      <c r="D72" s="12">
        <v>5</v>
      </c>
      <c r="E72" s="12">
        <v>5</v>
      </c>
      <c r="F72" s="12">
        <v>5</v>
      </c>
      <c r="G72" s="12">
        <v>5</v>
      </c>
      <c r="H72" s="12">
        <v>5</v>
      </c>
      <c r="I72" s="12">
        <v>5</v>
      </c>
      <c r="J72" s="12">
        <v>5</v>
      </c>
      <c r="K72" s="13">
        <f t="shared" si="12"/>
        <v>35</v>
      </c>
      <c r="L72" s="12">
        <v>5</v>
      </c>
      <c r="M72" s="12">
        <v>5</v>
      </c>
      <c r="N72" s="12">
        <v>2</v>
      </c>
      <c r="O72" s="12">
        <v>5</v>
      </c>
      <c r="P72" s="12">
        <v>4</v>
      </c>
      <c r="Q72" s="12">
        <v>4</v>
      </c>
      <c r="R72" s="12">
        <v>4</v>
      </c>
      <c r="S72" s="12">
        <v>3</v>
      </c>
      <c r="T72" s="12">
        <v>5</v>
      </c>
      <c r="U72" s="12">
        <v>3</v>
      </c>
      <c r="V72" s="12">
        <v>5</v>
      </c>
      <c r="W72" s="12">
        <v>4</v>
      </c>
      <c r="X72" s="12">
        <v>3</v>
      </c>
      <c r="Y72" s="12">
        <v>4</v>
      </c>
      <c r="Z72" s="12">
        <v>3</v>
      </c>
      <c r="AA72" s="12">
        <v>3</v>
      </c>
      <c r="AB72" s="13">
        <f t="shared" si="13"/>
        <v>62</v>
      </c>
      <c r="AC72" s="14"/>
    </row>
    <row r="73" customFormat="1" ht="178" customHeight="1" spans="1:29">
      <c r="A73" s="24"/>
      <c r="B73" s="10" t="s">
        <v>225</v>
      </c>
      <c r="C73" s="11" t="s">
        <v>226</v>
      </c>
      <c r="D73" s="12">
        <v>5</v>
      </c>
      <c r="E73" s="12">
        <v>5</v>
      </c>
      <c r="F73" s="12">
        <v>5</v>
      </c>
      <c r="G73" s="12">
        <v>5</v>
      </c>
      <c r="H73" s="12">
        <v>5</v>
      </c>
      <c r="I73" s="12">
        <v>5</v>
      </c>
      <c r="J73" s="12">
        <v>5</v>
      </c>
      <c r="K73" s="13">
        <f t="shared" si="12"/>
        <v>35</v>
      </c>
      <c r="L73" s="12">
        <v>4</v>
      </c>
      <c r="M73" s="12">
        <v>4</v>
      </c>
      <c r="N73" s="12">
        <v>3</v>
      </c>
      <c r="O73" s="12">
        <v>4</v>
      </c>
      <c r="P73" s="12">
        <v>3</v>
      </c>
      <c r="Q73" s="12">
        <v>4</v>
      </c>
      <c r="R73" s="12">
        <v>4</v>
      </c>
      <c r="S73" s="12">
        <v>5</v>
      </c>
      <c r="T73" s="12">
        <v>5</v>
      </c>
      <c r="U73" s="12">
        <v>5</v>
      </c>
      <c r="V73" s="12">
        <v>5</v>
      </c>
      <c r="W73" s="12">
        <v>4</v>
      </c>
      <c r="X73" s="12">
        <v>3</v>
      </c>
      <c r="Y73" s="12">
        <v>4</v>
      </c>
      <c r="Z73" s="12">
        <v>3</v>
      </c>
      <c r="AA73" s="12">
        <v>4</v>
      </c>
      <c r="AB73" s="13">
        <f t="shared" si="13"/>
        <v>64</v>
      </c>
      <c r="AC73" s="14"/>
    </row>
    <row r="74" customFormat="1" ht="161" customHeight="1" spans="1:29">
      <c r="A74" s="24"/>
      <c r="B74" s="10" t="s">
        <v>227</v>
      </c>
      <c r="C74" s="11" t="s">
        <v>228</v>
      </c>
      <c r="D74" s="12">
        <v>5</v>
      </c>
      <c r="E74" s="12">
        <v>5</v>
      </c>
      <c r="F74" s="12">
        <v>5</v>
      </c>
      <c r="G74" s="12">
        <v>5</v>
      </c>
      <c r="H74" s="12">
        <v>5</v>
      </c>
      <c r="I74" s="12">
        <v>5</v>
      </c>
      <c r="J74" s="12">
        <v>5</v>
      </c>
      <c r="K74" s="13">
        <f t="shared" si="12"/>
        <v>35</v>
      </c>
      <c r="L74" s="12">
        <v>5</v>
      </c>
      <c r="M74" s="12">
        <v>5</v>
      </c>
      <c r="N74" s="12">
        <v>3</v>
      </c>
      <c r="O74" s="12">
        <v>5</v>
      </c>
      <c r="P74" s="12">
        <v>4</v>
      </c>
      <c r="Q74" s="12">
        <v>4</v>
      </c>
      <c r="R74" s="12">
        <v>5</v>
      </c>
      <c r="S74" s="12">
        <v>5</v>
      </c>
      <c r="T74" s="12">
        <v>4</v>
      </c>
      <c r="U74" s="12">
        <v>5</v>
      </c>
      <c r="V74" s="12">
        <v>5</v>
      </c>
      <c r="W74" s="12">
        <v>5</v>
      </c>
      <c r="X74" s="12">
        <v>4</v>
      </c>
      <c r="Y74" s="12">
        <v>4</v>
      </c>
      <c r="Z74" s="12">
        <v>3</v>
      </c>
      <c r="AA74" s="12">
        <v>4</v>
      </c>
      <c r="AB74" s="13">
        <f t="shared" si="13"/>
        <v>70</v>
      </c>
      <c r="AC74" s="14"/>
    </row>
    <row r="75" customFormat="1" ht="167" customHeight="1" spans="1:29">
      <c r="A75" s="24"/>
      <c r="B75" s="10" t="s">
        <v>229</v>
      </c>
      <c r="C75" s="11" t="s">
        <v>230</v>
      </c>
      <c r="D75" s="12">
        <v>5</v>
      </c>
      <c r="E75" s="12">
        <v>5</v>
      </c>
      <c r="F75" s="12">
        <v>5</v>
      </c>
      <c r="G75" s="12">
        <v>5</v>
      </c>
      <c r="H75" s="12">
        <v>5</v>
      </c>
      <c r="I75" s="12">
        <v>5</v>
      </c>
      <c r="J75" s="12">
        <v>5</v>
      </c>
      <c r="K75" s="13">
        <f t="shared" si="12"/>
        <v>35</v>
      </c>
      <c r="L75" s="12">
        <v>5</v>
      </c>
      <c r="M75" s="12">
        <v>5</v>
      </c>
      <c r="N75" s="12">
        <v>3</v>
      </c>
      <c r="O75" s="12">
        <v>5</v>
      </c>
      <c r="P75" s="12">
        <v>4</v>
      </c>
      <c r="Q75" s="12">
        <v>4</v>
      </c>
      <c r="R75" s="12">
        <v>5</v>
      </c>
      <c r="S75" s="12">
        <v>5</v>
      </c>
      <c r="T75" s="12">
        <v>5</v>
      </c>
      <c r="U75" s="12">
        <v>5</v>
      </c>
      <c r="V75" s="12">
        <v>5</v>
      </c>
      <c r="W75" s="12">
        <v>5</v>
      </c>
      <c r="X75" s="12">
        <v>3</v>
      </c>
      <c r="Y75" s="12">
        <v>4</v>
      </c>
      <c r="Z75" s="12">
        <v>3</v>
      </c>
      <c r="AA75" s="12">
        <v>4</v>
      </c>
      <c r="AB75" s="13">
        <f t="shared" si="13"/>
        <v>70</v>
      </c>
      <c r="AC75" s="14"/>
    </row>
    <row r="76" customFormat="1" ht="234" customHeight="1" spans="1:29">
      <c r="A76" s="24"/>
      <c r="B76" s="10" t="s">
        <v>231</v>
      </c>
      <c r="C76" s="11" t="s">
        <v>232</v>
      </c>
      <c r="D76" s="12">
        <v>5</v>
      </c>
      <c r="E76" s="12">
        <v>5</v>
      </c>
      <c r="F76" s="12">
        <v>4</v>
      </c>
      <c r="G76" s="12">
        <v>5</v>
      </c>
      <c r="H76" s="12">
        <v>5</v>
      </c>
      <c r="I76" s="12">
        <v>5</v>
      </c>
      <c r="J76" s="12">
        <v>5</v>
      </c>
      <c r="K76" s="13">
        <f t="shared" si="12"/>
        <v>34</v>
      </c>
      <c r="L76" s="12">
        <v>5</v>
      </c>
      <c r="M76" s="12">
        <v>5</v>
      </c>
      <c r="N76" s="12">
        <v>2</v>
      </c>
      <c r="O76" s="12">
        <v>5</v>
      </c>
      <c r="P76" s="12">
        <v>2</v>
      </c>
      <c r="Q76" s="12">
        <v>4</v>
      </c>
      <c r="R76" s="12">
        <v>4</v>
      </c>
      <c r="S76" s="12">
        <v>1</v>
      </c>
      <c r="T76" s="12">
        <v>5</v>
      </c>
      <c r="U76" s="12">
        <v>5</v>
      </c>
      <c r="V76" s="12">
        <v>4</v>
      </c>
      <c r="W76" s="12">
        <v>4</v>
      </c>
      <c r="X76" s="12">
        <v>2</v>
      </c>
      <c r="Y76" s="12">
        <v>4</v>
      </c>
      <c r="Z76" s="12">
        <v>3</v>
      </c>
      <c r="AA76" s="12">
        <v>3</v>
      </c>
      <c r="AB76" s="13">
        <f t="shared" si="13"/>
        <v>58</v>
      </c>
      <c r="AC76" s="14"/>
    </row>
    <row r="77" customFormat="1" ht="153" customHeight="1" spans="1:29">
      <c r="A77" s="24"/>
      <c r="B77" s="10" t="s">
        <v>233</v>
      </c>
      <c r="C77" s="11" t="s">
        <v>234</v>
      </c>
      <c r="D77" s="12">
        <v>5</v>
      </c>
      <c r="E77" s="12">
        <v>5</v>
      </c>
      <c r="F77" s="12">
        <v>4</v>
      </c>
      <c r="G77" s="12">
        <v>5</v>
      </c>
      <c r="H77" s="12">
        <v>5</v>
      </c>
      <c r="I77" s="12">
        <v>5</v>
      </c>
      <c r="J77" s="12">
        <v>5</v>
      </c>
      <c r="K77" s="13">
        <f t="shared" si="12"/>
        <v>34</v>
      </c>
      <c r="L77" s="12">
        <v>5</v>
      </c>
      <c r="M77" s="12">
        <v>5</v>
      </c>
      <c r="N77" s="12">
        <v>2</v>
      </c>
      <c r="O77" s="12">
        <v>4</v>
      </c>
      <c r="P77" s="12">
        <v>2</v>
      </c>
      <c r="Q77" s="12">
        <v>4</v>
      </c>
      <c r="R77" s="12">
        <v>4</v>
      </c>
      <c r="S77" s="12">
        <v>5</v>
      </c>
      <c r="T77" s="12">
        <v>5</v>
      </c>
      <c r="U77" s="12">
        <v>5</v>
      </c>
      <c r="V77" s="12">
        <v>5</v>
      </c>
      <c r="W77" s="12">
        <v>4</v>
      </c>
      <c r="X77" s="12">
        <v>3</v>
      </c>
      <c r="Y77" s="12">
        <v>4</v>
      </c>
      <c r="Z77" s="12">
        <v>3</v>
      </c>
      <c r="AA77" s="12">
        <v>4</v>
      </c>
      <c r="AB77" s="13">
        <f t="shared" si="13"/>
        <v>64</v>
      </c>
      <c r="AC77" s="14"/>
    </row>
    <row r="78" customFormat="1" ht="162" spans="1:29">
      <c r="A78" s="24"/>
      <c r="B78" s="10" t="s">
        <v>269</v>
      </c>
      <c r="C78" s="11" t="s">
        <v>270</v>
      </c>
      <c r="D78" s="16">
        <v>5</v>
      </c>
      <c r="E78" s="16">
        <v>5</v>
      </c>
      <c r="F78" s="16">
        <v>5</v>
      </c>
      <c r="G78" s="16">
        <v>5</v>
      </c>
      <c r="H78" s="16">
        <v>5</v>
      </c>
      <c r="I78" s="16">
        <v>5</v>
      </c>
      <c r="J78" s="16">
        <v>5</v>
      </c>
      <c r="K78" s="13">
        <f t="shared" si="12"/>
        <v>35</v>
      </c>
      <c r="L78" s="16">
        <v>5</v>
      </c>
      <c r="M78" s="16">
        <v>5</v>
      </c>
      <c r="N78" s="16">
        <v>4</v>
      </c>
      <c r="O78" s="16">
        <v>5</v>
      </c>
      <c r="P78" s="16">
        <v>2</v>
      </c>
      <c r="Q78" s="16">
        <v>4</v>
      </c>
      <c r="R78" s="16">
        <v>4</v>
      </c>
      <c r="S78" s="16">
        <v>1</v>
      </c>
      <c r="T78" s="16">
        <v>5</v>
      </c>
      <c r="U78" s="16">
        <v>5</v>
      </c>
      <c r="V78" s="16">
        <v>5</v>
      </c>
      <c r="W78" s="16">
        <v>4</v>
      </c>
      <c r="X78" s="16">
        <v>2</v>
      </c>
      <c r="Y78" s="16">
        <v>4</v>
      </c>
      <c r="Z78" s="16">
        <v>3</v>
      </c>
      <c r="AA78" s="16">
        <v>3</v>
      </c>
      <c r="AB78" s="13">
        <f t="shared" si="13"/>
        <v>61</v>
      </c>
      <c r="AC78" s="14"/>
    </row>
    <row r="79" ht="162" spans="1:29">
      <c r="A79" s="25"/>
      <c r="B79" s="10" t="s">
        <v>271</v>
      </c>
      <c r="C79" s="11" t="s">
        <v>272</v>
      </c>
      <c r="D79" s="16">
        <v>5</v>
      </c>
      <c r="E79" s="16">
        <v>5</v>
      </c>
      <c r="F79" s="16">
        <v>5</v>
      </c>
      <c r="G79" s="16">
        <v>5</v>
      </c>
      <c r="H79" s="16">
        <v>5</v>
      </c>
      <c r="I79" s="16">
        <v>5</v>
      </c>
      <c r="J79" s="16">
        <v>5</v>
      </c>
      <c r="K79" s="13">
        <f t="shared" si="12"/>
        <v>35</v>
      </c>
      <c r="L79" s="16">
        <v>5</v>
      </c>
      <c r="M79" s="16">
        <v>5</v>
      </c>
      <c r="N79" s="16">
        <v>4</v>
      </c>
      <c r="O79" s="16">
        <v>5</v>
      </c>
      <c r="P79" s="16">
        <v>2</v>
      </c>
      <c r="Q79" s="16">
        <v>4</v>
      </c>
      <c r="R79" s="16">
        <v>4</v>
      </c>
      <c r="S79" s="16">
        <v>1</v>
      </c>
      <c r="T79" s="16">
        <v>5</v>
      </c>
      <c r="U79" s="16">
        <v>5</v>
      </c>
      <c r="V79" s="16">
        <v>5</v>
      </c>
      <c r="W79" s="16">
        <v>4</v>
      </c>
      <c r="X79" s="16">
        <v>2</v>
      </c>
      <c r="Y79" s="16">
        <v>4</v>
      </c>
      <c r="Z79" s="16">
        <v>3</v>
      </c>
      <c r="AA79" s="16">
        <v>3</v>
      </c>
      <c r="AB79" s="13">
        <f t="shared" si="13"/>
        <v>61</v>
      </c>
      <c r="AC79" s="14"/>
    </row>
    <row r="80" customFormat="1" ht="135" spans="1:29">
      <c r="A80" s="24"/>
      <c r="B80" s="10" t="s">
        <v>273</v>
      </c>
      <c r="C80" s="11" t="s">
        <v>274</v>
      </c>
      <c r="D80" s="16">
        <v>5</v>
      </c>
      <c r="E80" s="16">
        <v>5</v>
      </c>
      <c r="F80" s="16">
        <v>5</v>
      </c>
      <c r="G80" s="16">
        <v>5</v>
      </c>
      <c r="H80" s="16">
        <v>5</v>
      </c>
      <c r="I80" s="16">
        <v>5</v>
      </c>
      <c r="J80" s="16">
        <v>5</v>
      </c>
      <c r="K80" s="13">
        <f t="shared" si="12"/>
        <v>35</v>
      </c>
      <c r="L80" s="16">
        <v>5</v>
      </c>
      <c r="M80" s="16">
        <v>5</v>
      </c>
      <c r="N80" s="16">
        <v>4</v>
      </c>
      <c r="O80" s="16">
        <v>5</v>
      </c>
      <c r="P80" s="16">
        <v>2</v>
      </c>
      <c r="Q80" s="16">
        <v>4</v>
      </c>
      <c r="R80" s="16">
        <v>4</v>
      </c>
      <c r="S80" s="16">
        <v>1</v>
      </c>
      <c r="T80" s="16">
        <v>5</v>
      </c>
      <c r="U80" s="16">
        <v>5</v>
      </c>
      <c r="V80" s="16">
        <v>5</v>
      </c>
      <c r="W80" s="16">
        <v>4</v>
      </c>
      <c r="X80" s="16">
        <v>2</v>
      </c>
      <c r="Y80" s="16">
        <v>4</v>
      </c>
      <c r="Z80" s="16">
        <v>3</v>
      </c>
      <c r="AA80" s="16">
        <v>3</v>
      </c>
      <c r="AB80" s="13">
        <f t="shared" si="13"/>
        <v>61</v>
      </c>
      <c r="AC80" s="14"/>
    </row>
    <row r="81" spans="4:28">
      <c r="D81">
        <f>AVERAGE(D70:D80)</f>
        <v>5</v>
      </c>
      <c r="E81">
        <f t="shared" ref="E81:AB81" si="14">AVERAGE(E70:E80)</f>
        <v>5</v>
      </c>
      <c r="F81">
        <f t="shared" si="14"/>
        <v>4.72727272727273</v>
      </c>
      <c r="G81">
        <f t="shared" si="14"/>
        <v>5</v>
      </c>
      <c r="H81">
        <f t="shared" si="14"/>
        <v>5</v>
      </c>
      <c r="I81">
        <f t="shared" si="14"/>
        <v>5</v>
      </c>
      <c r="J81">
        <f t="shared" si="14"/>
        <v>5</v>
      </c>
      <c r="K81">
        <f t="shared" si="14"/>
        <v>34.7272727272727</v>
      </c>
      <c r="L81">
        <f t="shared" si="14"/>
        <v>4.90909090909091</v>
      </c>
      <c r="M81">
        <f t="shared" si="14"/>
        <v>4.90909090909091</v>
      </c>
      <c r="N81">
        <f t="shared" si="14"/>
        <v>3</v>
      </c>
      <c r="O81">
        <f t="shared" si="14"/>
        <v>4.81818181818182</v>
      </c>
      <c r="P81">
        <f t="shared" si="14"/>
        <v>2.63636363636364</v>
      </c>
      <c r="Q81">
        <f t="shared" si="14"/>
        <v>4</v>
      </c>
      <c r="R81">
        <f t="shared" si="14"/>
        <v>4.18181818181818</v>
      </c>
      <c r="S81">
        <f t="shared" si="14"/>
        <v>2.81818181818182</v>
      </c>
      <c r="T81">
        <f t="shared" si="14"/>
        <v>4.90909090909091</v>
      </c>
      <c r="U81">
        <f t="shared" si="14"/>
        <v>4.81818181818182</v>
      </c>
      <c r="V81">
        <f t="shared" si="14"/>
        <v>4.90909090909091</v>
      </c>
      <c r="W81">
        <f t="shared" si="14"/>
        <v>4.18181818181818</v>
      </c>
      <c r="X81">
        <f t="shared" si="14"/>
        <v>2.54545454545455</v>
      </c>
      <c r="Y81">
        <f t="shared" si="14"/>
        <v>3.90909090909091</v>
      </c>
      <c r="Z81">
        <f t="shared" si="14"/>
        <v>3</v>
      </c>
      <c r="AA81">
        <f t="shared" si="14"/>
        <v>3.36363636363636</v>
      </c>
      <c r="AB81">
        <f t="shared" si="14"/>
        <v>62.9090909090909</v>
      </c>
    </row>
  </sheetData>
  <mergeCells count="8">
    <mergeCell ref="A1:AB1"/>
    <mergeCell ref="A3:A9"/>
    <mergeCell ref="A10:A12"/>
    <mergeCell ref="A15:A32"/>
    <mergeCell ref="A33:A39"/>
    <mergeCell ref="A42:A56"/>
    <mergeCell ref="A62:A64"/>
    <mergeCell ref="A65:A6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9"/>
  <sheetViews>
    <sheetView zoomScale="40" zoomScaleNormal="40" topLeftCell="A42" workbookViewId="0">
      <selection activeCell="AC42" sqref="AC$1:AC$1048576"/>
    </sheetView>
  </sheetViews>
  <sheetFormatPr defaultColWidth="9.02654867256637" defaultRowHeight="13.5"/>
  <cols>
    <col min="2" max="2" width="38.9026548672566" customWidth="1"/>
    <col min="3" max="3" width="43.283185840708" customWidth="1"/>
    <col min="4" max="6" width="12.7964601769912"/>
    <col min="9" max="14" width="12.7964601769912"/>
    <col min="16" max="18" width="12.7964601769912"/>
    <col min="21"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94.5" spans="1:29">
      <c r="A3" s="15" t="s">
        <v>291</v>
      </c>
      <c r="B3" s="10" t="s">
        <v>28</v>
      </c>
      <c r="C3" s="11" t="s">
        <v>29</v>
      </c>
      <c r="D3" s="12">
        <v>5</v>
      </c>
      <c r="E3" s="12">
        <v>5</v>
      </c>
      <c r="F3" s="12">
        <v>5</v>
      </c>
      <c r="G3" s="12">
        <v>4</v>
      </c>
      <c r="H3" s="12">
        <v>5</v>
      </c>
      <c r="I3" s="12">
        <v>5</v>
      </c>
      <c r="J3" s="12">
        <v>5</v>
      </c>
      <c r="K3" s="13">
        <f t="shared" ref="K3:K9" si="0">SUM(D3:J3)</f>
        <v>34</v>
      </c>
      <c r="L3" s="12">
        <v>5</v>
      </c>
      <c r="M3" s="12">
        <v>5</v>
      </c>
      <c r="N3" s="12">
        <v>3</v>
      </c>
      <c r="O3" s="12">
        <v>5</v>
      </c>
      <c r="P3" s="12">
        <v>1</v>
      </c>
      <c r="Q3" s="12">
        <v>4</v>
      </c>
      <c r="R3" s="12">
        <v>4</v>
      </c>
      <c r="S3" s="12">
        <v>5</v>
      </c>
      <c r="T3" s="12">
        <v>5</v>
      </c>
      <c r="U3" s="12">
        <v>5</v>
      </c>
      <c r="V3" s="12">
        <v>5</v>
      </c>
      <c r="W3" s="12">
        <v>2</v>
      </c>
      <c r="X3" s="12">
        <v>1</v>
      </c>
      <c r="Y3" s="12">
        <v>3</v>
      </c>
      <c r="Z3" s="12">
        <v>3</v>
      </c>
      <c r="AA3" s="12">
        <v>3</v>
      </c>
      <c r="AB3" s="13">
        <f t="shared" ref="AB3:AB9" si="1">SUM(L3:AA3)</f>
        <v>59</v>
      </c>
      <c r="AC3" s="14"/>
    </row>
    <row r="4" ht="94.5" spans="1:29">
      <c r="A4" s="15"/>
      <c r="B4" s="10" t="s">
        <v>30</v>
      </c>
      <c r="C4" s="11" t="s">
        <v>31</v>
      </c>
      <c r="D4" s="12">
        <v>4</v>
      </c>
      <c r="E4" s="12">
        <v>5</v>
      </c>
      <c r="F4" s="12">
        <v>5</v>
      </c>
      <c r="G4" s="12">
        <v>4</v>
      </c>
      <c r="H4" s="12">
        <v>5</v>
      </c>
      <c r="I4" s="12">
        <v>5</v>
      </c>
      <c r="J4" s="12">
        <v>5</v>
      </c>
      <c r="K4" s="13">
        <f t="shared" si="0"/>
        <v>33</v>
      </c>
      <c r="L4" s="12">
        <v>5</v>
      </c>
      <c r="M4" s="12">
        <v>4</v>
      </c>
      <c r="N4" s="12">
        <v>3</v>
      </c>
      <c r="O4" s="12">
        <v>5</v>
      </c>
      <c r="P4" s="12">
        <v>1</v>
      </c>
      <c r="Q4" s="12">
        <v>4</v>
      </c>
      <c r="R4" s="12">
        <v>4</v>
      </c>
      <c r="S4" s="12">
        <v>3</v>
      </c>
      <c r="T4" s="12">
        <v>5</v>
      </c>
      <c r="U4" s="12">
        <v>5</v>
      </c>
      <c r="V4" s="12">
        <v>5</v>
      </c>
      <c r="W4" s="12">
        <v>2</v>
      </c>
      <c r="X4" s="12">
        <v>1</v>
      </c>
      <c r="Y4" s="12">
        <v>2</v>
      </c>
      <c r="Z4" s="12">
        <v>3</v>
      </c>
      <c r="AA4" s="12">
        <v>2</v>
      </c>
      <c r="AB4" s="13">
        <f t="shared" si="1"/>
        <v>54</v>
      </c>
      <c r="AC4" s="14"/>
    </row>
    <row r="5" ht="108" customHeight="1" spans="1:29">
      <c r="A5" s="15"/>
      <c r="B5" s="10" t="s">
        <v>32</v>
      </c>
      <c r="C5" s="11" t="s">
        <v>33</v>
      </c>
      <c r="D5" s="12">
        <v>5</v>
      </c>
      <c r="E5" s="12">
        <v>5</v>
      </c>
      <c r="F5" s="12">
        <v>5</v>
      </c>
      <c r="G5" s="12">
        <v>4</v>
      </c>
      <c r="H5" s="12">
        <v>5</v>
      </c>
      <c r="I5" s="12">
        <v>5</v>
      </c>
      <c r="J5" s="12">
        <v>5</v>
      </c>
      <c r="K5" s="13">
        <f t="shared" si="0"/>
        <v>34</v>
      </c>
      <c r="L5" s="12">
        <v>5</v>
      </c>
      <c r="M5" s="12">
        <v>5</v>
      </c>
      <c r="N5" s="12">
        <v>3</v>
      </c>
      <c r="O5" s="12">
        <v>5</v>
      </c>
      <c r="P5" s="12">
        <v>1</v>
      </c>
      <c r="Q5" s="12">
        <v>4</v>
      </c>
      <c r="R5" s="12">
        <v>3</v>
      </c>
      <c r="S5" s="12">
        <v>5</v>
      </c>
      <c r="T5" s="12">
        <v>5</v>
      </c>
      <c r="U5" s="12">
        <v>5</v>
      </c>
      <c r="V5" s="12">
        <v>5</v>
      </c>
      <c r="W5" s="12">
        <v>2</v>
      </c>
      <c r="X5" s="12">
        <v>1</v>
      </c>
      <c r="Y5" s="12">
        <v>3</v>
      </c>
      <c r="Z5" s="12">
        <v>3</v>
      </c>
      <c r="AA5" s="12">
        <v>3</v>
      </c>
      <c r="AB5" s="13">
        <f t="shared" si="1"/>
        <v>58</v>
      </c>
      <c r="AC5" s="14"/>
    </row>
    <row r="6" ht="94.5" spans="1:29">
      <c r="A6" s="15"/>
      <c r="B6" s="10" t="s">
        <v>34</v>
      </c>
      <c r="C6" s="11" t="s">
        <v>35</v>
      </c>
      <c r="D6" s="12">
        <v>5</v>
      </c>
      <c r="E6" s="12">
        <v>5</v>
      </c>
      <c r="F6" s="12">
        <v>5</v>
      </c>
      <c r="G6" s="12">
        <v>4</v>
      </c>
      <c r="H6" s="12">
        <v>5</v>
      </c>
      <c r="I6" s="12">
        <v>5</v>
      </c>
      <c r="J6" s="12">
        <v>5</v>
      </c>
      <c r="K6" s="13">
        <f t="shared" si="0"/>
        <v>34</v>
      </c>
      <c r="L6" s="12">
        <v>5</v>
      </c>
      <c r="M6" s="12">
        <v>5</v>
      </c>
      <c r="N6" s="12">
        <v>3</v>
      </c>
      <c r="O6" s="12">
        <v>5</v>
      </c>
      <c r="P6" s="12">
        <v>1</v>
      </c>
      <c r="Q6" s="12">
        <v>4</v>
      </c>
      <c r="R6" s="12">
        <v>4</v>
      </c>
      <c r="S6" s="12">
        <v>5</v>
      </c>
      <c r="T6" s="12">
        <v>5</v>
      </c>
      <c r="U6" s="12">
        <v>5</v>
      </c>
      <c r="V6" s="12">
        <v>5</v>
      </c>
      <c r="W6" s="12">
        <v>1</v>
      </c>
      <c r="X6" s="12">
        <v>1</v>
      </c>
      <c r="Y6" s="12">
        <v>3</v>
      </c>
      <c r="Z6" s="12">
        <v>3</v>
      </c>
      <c r="AA6" s="12">
        <v>3</v>
      </c>
      <c r="AB6" s="13">
        <f t="shared" si="1"/>
        <v>58</v>
      </c>
      <c r="AC6" s="14"/>
    </row>
    <row r="7" ht="94.5" spans="1:29">
      <c r="A7" s="15"/>
      <c r="B7" s="10" t="s">
        <v>36</v>
      </c>
      <c r="C7" s="11" t="s">
        <v>37</v>
      </c>
      <c r="D7" s="12">
        <v>5</v>
      </c>
      <c r="E7" s="12">
        <v>5</v>
      </c>
      <c r="F7" s="12">
        <v>5</v>
      </c>
      <c r="G7" s="12">
        <v>4</v>
      </c>
      <c r="H7" s="12">
        <v>5</v>
      </c>
      <c r="I7" s="12">
        <v>5</v>
      </c>
      <c r="J7" s="12">
        <v>5</v>
      </c>
      <c r="K7" s="13">
        <f t="shared" si="0"/>
        <v>34</v>
      </c>
      <c r="L7" s="12">
        <v>5</v>
      </c>
      <c r="M7" s="12">
        <v>5</v>
      </c>
      <c r="N7" s="12">
        <v>3</v>
      </c>
      <c r="O7" s="12">
        <v>5</v>
      </c>
      <c r="P7" s="12">
        <v>1</v>
      </c>
      <c r="Q7" s="12">
        <v>4</v>
      </c>
      <c r="R7" s="12">
        <v>4</v>
      </c>
      <c r="S7" s="12">
        <v>5</v>
      </c>
      <c r="T7" s="12">
        <v>5</v>
      </c>
      <c r="U7" s="12">
        <v>5</v>
      </c>
      <c r="V7" s="12">
        <v>5</v>
      </c>
      <c r="W7" s="12">
        <v>1</v>
      </c>
      <c r="X7" s="12">
        <v>1</v>
      </c>
      <c r="Y7" s="12">
        <v>3</v>
      </c>
      <c r="Z7" s="12">
        <v>3</v>
      </c>
      <c r="AA7" s="12">
        <v>3</v>
      </c>
      <c r="AB7" s="13">
        <f t="shared" si="1"/>
        <v>58</v>
      </c>
      <c r="AC7" s="14"/>
    </row>
    <row r="8" ht="108" customHeight="1" spans="1:29">
      <c r="A8" s="15"/>
      <c r="B8" s="10" t="s">
        <v>38</v>
      </c>
      <c r="C8" s="11" t="s">
        <v>39</v>
      </c>
      <c r="D8" s="12">
        <v>5</v>
      </c>
      <c r="E8" s="12">
        <v>5</v>
      </c>
      <c r="F8" s="12">
        <v>5</v>
      </c>
      <c r="G8" s="12">
        <v>4</v>
      </c>
      <c r="H8" s="12">
        <v>4</v>
      </c>
      <c r="I8" s="12">
        <v>4</v>
      </c>
      <c r="J8" s="12">
        <v>4</v>
      </c>
      <c r="K8" s="13">
        <f t="shared" si="0"/>
        <v>31</v>
      </c>
      <c r="L8" s="12">
        <v>5</v>
      </c>
      <c r="M8" s="12">
        <v>5</v>
      </c>
      <c r="N8" s="12">
        <v>3</v>
      </c>
      <c r="O8" s="12">
        <v>5</v>
      </c>
      <c r="P8" s="12">
        <v>1</v>
      </c>
      <c r="Q8" s="12">
        <v>4</v>
      </c>
      <c r="R8" s="12">
        <v>4</v>
      </c>
      <c r="S8" s="12">
        <v>5</v>
      </c>
      <c r="T8" s="12">
        <v>5</v>
      </c>
      <c r="U8" s="12">
        <v>5</v>
      </c>
      <c r="V8" s="12">
        <v>5</v>
      </c>
      <c r="W8" s="12">
        <v>1</v>
      </c>
      <c r="X8" s="12">
        <v>1</v>
      </c>
      <c r="Y8" s="12">
        <v>2</v>
      </c>
      <c r="Z8" s="12">
        <v>3</v>
      </c>
      <c r="AA8" s="12">
        <v>2</v>
      </c>
      <c r="AB8" s="13">
        <f t="shared" si="1"/>
        <v>56</v>
      </c>
      <c r="AC8" s="13"/>
    </row>
    <row r="9" ht="94.5" spans="1:29">
      <c r="A9" s="15"/>
      <c r="B9" s="10" t="s">
        <v>40</v>
      </c>
      <c r="C9" s="11" t="s">
        <v>41</v>
      </c>
      <c r="D9" s="12">
        <v>5</v>
      </c>
      <c r="E9" s="12">
        <v>5</v>
      </c>
      <c r="F9" s="12">
        <v>5</v>
      </c>
      <c r="G9" s="12">
        <v>4</v>
      </c>
      <c r="H9" s="12">
        <v>5</v>
      </c>
      <c r="I9" s="12">
        <v>5</v>
      </c>
      <c r="J9" s="12">
        <v>5</v>
      </c>
      <c r="K9" s="13">
        <f t="shared" si="0"/>
        <v>34</v>
      </c>
      <c r="L9" s="12">
        <v>5</v>
      </c>
      <c r="M9" s="12">
        <v>5</v>
      </c>
      <c r="N9" s="12">
        <v>3</v>
      </c>
      <c r="O9" s="12">
        <v>5</v>
      </c>
      <c r="P9" s="12">
        <v>1</v>
      </c>
      <c r="Q9" s="12">
        <v>3</v>
      </c>
      <c r="R9" s="12">
        <v>3</v>
      </c>
      <c r="S9" s="12">
        <v>5</v>
      </c>
      <c r="T9" s="12">
        <v>5</v>
      </c>
      <c r="U9" s="12">
        <v>5</v>
      </c>
      <c r="V9" s="12">
        <v>5</v>
      </c>
      <c r="W9" s="12">
        <v>2</v>
      </c>
      <c r="X9" s="12">
        <v>1</v>
      </c>
      <c r="Y9" s="12">
        <v>3</v>
      </c>
      <c r="Z9" s="12">
        <v>3</v>
      </c>
      <c r="AA9" s="12">
        <v>3</v>
      </c>
      <c r="AB9" s="13">
        <f t="shared" si="1"/>
        <v>57</v>
      </c>
      <c r="AC9" s="14"/>
    </row>
    <row r="10" spans="1:29">
      <c r="D10">
        <f>AVERAGE(D3:D9)</f>
        <v>4.85714285714286</v>
      </c>
      <c r="E10">
        <f t="shared" ref="E10:AB10" si="2">AVERAGE(E3:E9)</f>
        <v>5</v>
      </c>
      <c r="F10">
        <f t="shared" si="2"/>
        <v>5</v>
      </c>
      <c r="G10">
        <f t="shared" si="2"/>
        <v>4</v>
      </c>
      <c r="H10">
        <f t="shared" si="2"/>
        <v>4.85714285714286</v>
      </c>
      <c r="I10">
        <f t="shared" si="2"/>
        <v>4.85714285714286</v>
      </c>
      <c r="J10">
        <f t="shared" si="2"/>
        <v>4.85714285714286</v>
      </c>
      <c r="K10">
        <f t="shared" si="2"/>
        <v>33.4285714285714</v>
      </c>
      <c r="L10">
        <f t="shared" si="2"/>
        <v>5</v>
      </c>
      <c r="M10">
        <f t="shared" si="2"/>
        <v>4.85714285714286</v>
      </c>
      <c r="N10">
        <f t="shared" si="2"/>
        <v>3</v>
      </c>
      <c r="O10">
        <f t="shared" si="2"/>
        <v>5</v>
      </c>
      <c r="P10">
        <f t="shared" si="2"/>
        <v>1</v>
      </c>
      <c r="Q10">
        <f t="shared" si="2"/>
        <v>3.85714285714286</v>
      </c>
      <c r="R10">
        <f t="shared" si="2"/>
        <v>3.71428571428571</v>
      </c>
      <c r="S10">
        <f t="shared" si="2"/>
        <v>4.71428571428571</v>
      </c>
      <c r="T10">
        <f t="shared" si="2"/>
        <v>5</v>
      </c>
      <c r="U10">
        <f t="shared" si="2"/>
        <v>5</v>
      </c>
      <c r="V10">
        <f t="shared" si="2"/>
        <v>5</v>
      </c>
      <c r="W10">
        <f t="shared" si="2"/>
        <v>1.57142857142857</v>
      </c>
      <c r="X10">
        <f t="shared" si="2"/>
        <v>1</v>
      </c>
      <c r="Y10">
        <f t="shared" si="2"/>
        <v>2.71428571428571</v>
      </c>
      <c r="Z10">
        <f t="shared" si="2"/>
        <v>3</v>
      </c>
      <c r="AA10">
        <f t="shared" si="2"/>
        <v>2.71428571428571</v>
      </c>
      <c r="AB10">
        <f t="shared" si="2"/>
        <v>57.1428571428571</v>
      </c>
    </row>
    <row r="12" ht="148.5" spans="1:29">
      <c r="A12" s="23" t="s">
        <v>292</v>
      </c>
      <c r="B12" s="10" t="s">
        <v>116</v>
      </c>
      <c r="C12" s="11" t="s">
        <v>117</v>
      </c>
      <c r="D12" s="12">
        <v>5</v>
      </c>
      <c r="E12" s="12">
        <v>5</v>
      </c>
      <c r="F12" s="12">
        <v>5</v>
      </c>
      <c r="G12" s="12">
        <v>5</v>
      </c>
      <c r="H12" s="12">
        <v>5</v>
      </c>
      <c r="I12" s="12">
        <v>5</v>
      </c>
      <c r="J12" s="12">
        <v>5</v>
      </c>
      <c r="K12" s="13">
        <f t="shared" ref="K12:K22" si="3">SUM(D12:J12)</f>
        <v>35</v>
      </c>
      <c r="L12" s="12">
        <v>5</v>
      </c>
      <c r="M12" s="12">
        <v>5</v>
      </c>
      <c r="N12" s="12">
        <v>3</v>
      </c>
      <c r="O12" s="12">
        <v>5</v>
      </c>
      <c r="P12" s="12">
        <v>2</v>
      </c>
      <c r="Q12" s="12">
        <v>4</v>
      </c>
      <c r="R12" s="12">
        <v>4</v>
      </c>
      <c r="S12" s="12">
        <v>5</v>
      </c>
      <c r="T12" s="12">
        <v>5</v>
      </c>
      <c r="U12" s="12">
        <v>5</v>
      </c>
      <c r="V12" s="12">
        <v>5</v>
      </c>
      <c r="W12" s="12">
        <v>4</v>
      </c>
      <c r="X12" s="12">
        <v>2</v>
      </c>
      <c r="Y12" s="12">
        <v>5</v>
      </c>
      <c r="Z12" s="12">
        <v>3</v>
      </c>
      <c r="AA12" s="12">
        <v>4</v>
      </c>
      <c r="AB12" s="13">
        <f t="shared" ref="AB12:AB22" si="4">SUM(L12:AA12)</f>
        <v>66</v>
      </c>
      <c r="AC12" s="14"/>
    </row>
    <row r="13" ht="283.5" spans="1:29">
      <c r="A13" s="23"/>
      <c r="B13" s="10" t="s">
        <v>118</v>
      </c>
      <c r="C13" s="11" t="s">
        <v>119</v>
      </c>
      <c r="D13" s="12">
        <v>5</v>
      </c>
      <c r="E13" s="12">
        <v>5</v>
      </c>
      <c r="F13" s="12">
        <v>5</v>
      </c>
      <c r="G13" s="12">
        <v>5</v>
      </c>
      <c r="H13" s="12">
        <v>5</v>
      </c>
      <c r="I13" s="12">
        <v>5</v>
      </c>
      <c r="J13" s="12">
        <v>5</v>
      </c>
      <c r="K13" s="13">
        <f t="shared" si="3"/>
        <v>35</v>
      </c>
      <c r="L13" s="12">
        <v>5</v>
      </c>
      <c r="M13" s="12">
        <v>5</v>
      </c>
      <c r="N13" s="12">
        <v>3</v>
      </c>
      <c r="O13" s="12">
        <v>5</v>
      </c>
      <c r="P13" s="12">
        <v>2</v>
      </c>
      <c r="Q13" s="12">
        <v>4</v>
      </c>
      <c r="R13" s="12">
        <v>4</v>
      </c>
      <c r="S13" s="12">
        <v>5</v>
      </c>
      <c r="T13" s="12">
        <v>5</v>
      </c>
      <c r="U13" s="12">
        <v>5</v>
      </c>
      <c r="V13" s="12">
        <v>5</v>
      </c>
      <c r="W13" s="12">
        <v>4</v>
      </c>
      <c r="X13" s="12">
        <v>2</v>
      </c>
      <c r="Y13" s="12">
        <v>4</v>
      </c>
      <c r="Z13" s="12">
        <v>3</v>
      </c>
      <c r="AA13" s="12">
        <v>4</v>
      </c>
      <c r="AB13" s="13">
        <f t="shared" si="4"/>
        <v>65</v>
      </c>
      <c r="AC13" s="14"/>
    </row>
    <row r="14" ht="324" spans="1:29">
      <c r="A14" s="23"/>
      <c r="B14" s="10" t="s">
        <v>120</v>
      </c>
      <c r="C14" s="11" t="s">
        <v>121</v>
      </c>
      <c r="D14" s="12">
        <v>5</v>
      </c>
      <c r="E14" s="12">
        <v>5</v>
      </c>
      <c r="F14" s="12">
        <v>5</v>
      </c>
      <c r="G14" s="12">
        <v>5</v>
      </c>
      <c r="H14" s="12">
        <v>5</v>
      </c>
      <c r="I14" s="12">
        <v>5</v>
      </c>
      <c r="J14" s="12">
        <v>5</v>
      </c>
      <c r="K14" s="13">
        <f t="shared" si="3"/>
        <v>35</v>
      </c>
      <c r="L14" s="12">
        <v>5</v>
      </c>
      <c r="M14" s="12">
        <v>5</v>
      </c>
      <c r="N14" s="12">
        <v>3</v>
      </c>
      <c r="O14" s="12">
        <v>5</v>
      </c>
      <c r="P14" s="12">
        <v>2</v>
      </c>
      <c r="Q14" s="12">
        <v>4</v>
      </c>
      <c r="R14" s="12">
        <v>4</v>
      </c>
      <c r="S14" s="12">
        <v>5</v>
      </c>
      <c r="T14" s="12">
        <v>5</v>
      </c>
      <c r="U14" s="12">
        <v>5</v>
      </c>
      <c r="V14" s="12">
        <v>5</v>
      </c>
      <c r="W14" s="12">
        <v>4</v>
      </c>
      <c r="X14" s="12">
        <v>2</v>
      </c>
      <c r="Y14" s="12">
        <v>4</v>
      </c>
      <c r="Z14" s="12">
        <v>3</v>
      </c>
      <c r="AA14" s="12">
        <v>4</v>
      </c>
      <c r="AB14" s="13">
        <f t="shared" si="4"/>
        <v>65</v>
      </c>
      <c r="AC14" s="14"/>
    </row>
    <row r="15" ht="121" customHeight="1" spans="1:29">
      <c r="A15" s="23"/>
      <c r="B15" s="10" t="s">
        <v>122</v>
      </c>
      <c r="C15" s="11" t="s">
        <v>123</v>
      </c>
      <c r="D15" s="12">
        <v>5</v>
      </c>
      <c r="E15" s="12">
        <v>5</v>
      </c>
      <c r="F15" s="12">
        <v>5</v>
      </c>
      <c r="G15" s="12">
        <v>5</v>
      </c>
      <c r="H15" s="12">
        <v>5</v>
      </c>
      <c r="I15" s="12">
        <v>5</v>
      </c>
      <c r="J15" s="12">
        <v>5</v>
      </c>
      <c r="K15" s="13">
        <f t="shared" si="3"/>
        <v>35</v>
      </c>
      <c r="L15" s="12">
        <v>5</v>
      </c>
      <c r="M15" s="12">
        <v>5</v>
      </c>
      <c r="N15" s="12">
        <v>3</v>
      </c>
      <c r="O15" s="12">
        <v>5</v>
      </c>
      <c r="P15" s="12">
        <v>3</v>
      </c>
      <c r="Q15" s="12">
        <v>4</v>
      </c>
      <c r="R15" s="12">
        <v>4</v>
      </c>
      <c r="S15" s="12">
        <v>5</v>
      </c>
      <c r="T15" s="12">
        <v>5</v>
      </c>
      <c r="U15" s="12">
        <v>5</v>
      </c>
      <c r="V15" s="12">
        <v>5</v>
      </c>
      <c r="W15" s="12">
        <v>4</v>
      </c>
      <c r="X15" s="12">
        <v>3</v>
      </c>
      <c r="Y15" s="12">
        <v>4</v>
      </c>
      <c r="Z15" s="12">
        <v>3</v>
      </c>
      <c r="AA15" s="12">
        <v>4</v>
      </c>
      <c r="AB15" s="13">
        <f t="shared" si="4"/>
        <v>67</v>
      </c>
      <c r="AC15" s="14"/>
    </row>
    <row r="16" ht="168" customHeight="1" spans="1:29">
      <c r="A16" s="23"/>
      <c r="B16" s="10" t="s">
        <v>124</v>
      </c>
      <c r="C16" s="11" t="s">
        <v>125</v>
      </c>
      <c r="D16" s="12">
        <v>5</v>
      </c>
      <c r="E16" s="12">
        <v>5</v>
      </c>
      <c r="F16" s="12">
        <v>5</v>
      </c>
      <c r="G16" s="12">
        <v>5</v>
      </c>
      <c r="H16" s="12">
        <v>5</v>
      </c>
      <c r="I16" s="12">
        <v>5</v>
      </c>
      <c r="J16" s="12">
        <v>5</v>
      </c>
      <c r="K16" s="13">
        <f t="shared" si="3"/>
        <v>35</v>
      </c>
      <c r="L16" s="12">
        <v>5</v>
      </c>
      <c r="M16" s="12">
        <v>5</v>
      </c>
      <c r="N16" s="12">
        <v>2</v>
      </c>
      <c r="O16" s="12">
        <v>5</v>
      </c>
      <c r="P16" s="12">
        <v>2</v>
      </c>
      <c r="Q16" s="12">
        <v>4</v>
      </c>
      <c r="R16" s="12">
        <v>4</v>
      </c>
      <c r="S16" s="12">
        <v>5</v>
      </c>
      <c r="T16" s="12">
        <v>5</v>
      </c>
      <c r="U16" s="12">
        <v>5</v>
      </c>
      <c r="V16" s="12">
        <v>5</v>
      </c>
      <c r="W16" s="12">
        <v>4</v>
      </c>
      <c r="X16" s="12">
        <v>3</v>
      </c>
      <c r="Y16" s="12">
        <v>3</v>
      </c>
      <c r="Z16" s="12">
        <v>3</v>
      </c>
      <c r="AA16" s="12">
        <v>3</v>
      </c>
      <c r="AB16" s="13">
        <f t="shared" si="4"/>
        <v>63</v>
      </c>
      <c r="AC16" s="14"/>
    </row>
    <row r="17" ht="135" spans="1:29">
      <c r="A17" s="23"/>
      <c r="B17" s="10" t="s">
        <v>126</v>
      </c>
      <c r="C17" s="11" t="s">
        <v>127</v>
      </c>
      <c r="D17" s="12">
        <v>5</v>
      </c>
      <c r="E17" s="12">
        <v>5</v>
      </c>
      <c r="F17" s="12">
        <v>5</v>
      </c>
      <c r="G17" s="12">
        <v>5</v>
      </c>
      <c r="H17" s="12">
        <v>5</v>
      </c>
      <c r="I17" s="12">
        <v>5</v>
      </c>
      <c r="J17" s="12">
        <v>5</v>
      </c>
      <c r="K17" s="13">
        <f t="shared" si="3"/>
        <v>35</v>
      </c>
      <c r="L17" s="12">
        <v>5</v>
      </c>
      <c r="M17" s="12">
        <v>3</v>
      </c>
      <c r="N17" s="12">
        <v>3</v>
      </c>
      <c r="O17" s="12">
        <v>5</v>
      </c>
      <c r="P17" s="12">
        <v>1</v>
      </c>
      <c r="Q17" s="12">
        <v>4</v>
      </c>
      <c r="R17" s="12">
        <v>4</v>
      </c>
      <c r="S17" s="12">
        <v>5</v>
      </c>
      <c r="T17" s="12">
        <v>5</v>
      </c>
      <c r="U17" s="12">
        <v>5</v>
      </c>
      <c r="V17" s="12">
        <v>5</v>
      </c>
      <c r="W17" s="12">
        <v>4</v>
      </c>
      <c r="X17" s="12">
        <v>3</v>
      </c>
      <c r="Y17" s="12">
        <v>3</v>
      </c>
      <c r="Z17" s="12">
        <v>3</v>
      </c>
      <c r="AA17" s="12">
        <v>3</v>
      </c>
      <c r="AB17" s="13">
        <f t="shared" si="4"/>
        <v>61</v>
      </c>
      <c r="AC17" s="14"/>
    </row>
    <row r="18" ht="121.5" spans="1:29">
      <c r="A18" s="23"/>
      <c r="B18" s="10" t="s">
        <v>128</v>
      </c>
      <c r="C18" s="11" t="s">
        <v>129</v>
      </c>
      <c r="D18" s="12">
        <v>5</v>
      </c>
      <c r="E18" s="12">
        <v>5</v>
      </c>
      <c r="F18" s="12">
        <v>5</v>
      </c>
      <c r="G18" s="12">
        <v>5</v>
      </c>
      <c r="H18" s="12">
        <v>5</v>
      </c>
      <c r="I18" s="12">
        <v>5</v>
      </c>
      <c r="J18" s="12">
        <v>5</v>
      </c>
      <c r="K18" s="13">
        <f t="shared" si="3"/>
        <v>35</v>
      </c>
      <c r="L18" s="12">
        <v>5</v>
      </c>
      <c r="M18" s="12">
        <v>5</v>
      </c>
      <c r="N18" s="12">
        <v>2</v>
      </c>
      <c r="O18" s="12">
        <v>5</v>
      </c>
      <c r="P18" s="12">
        <v>2</v>
      </c>
      <c r="Q18" s="12">
        <v>4</v>
      </c>
      <c r="R18" s="12">
        <v>4</v>
      </c>
      <c r="S18" s="12">
        <v>5</v>
      </c>
      <c r="T18" s="12">
        <v>5</v>
      </c>
      <c r="U18" s="12">
        <v>5</v>
      </c>
      <c r="V18" s="12">
        <v>5</v>
      </c>
      <c r="W18" s="12">
        <v>4</v>
      </c>
      <c r="X18" s="12">
        <v>2</v>
      </c>
      <c r="Y18" s="12">
        <v>3</v>
      </c>
      <c r="Z18" s="12">
        <v>3</v>
      </c>
      <c r="AA18" s="12">
        <v>3</v>
      </c>
      <c r="AB18" s="13">
        <f t="shared" si="4"/>
        <v>62</v>
      </c>
      <c r="AC18" s="13"/>
    </row>
    <row r="19" customFormat="1" ht="162" spans="1:29">
      <c r="A19" s="24"/>
      <c r="B19" s="10" t="s">
        <v>130</v>
      </c>
      <c r="C19" s="11" t="s">
        <v>131</v>
      </c>
      <c r="D19" s="12">
        <v>5</v>
      </c>
      <c r="E19" s="12">
        <v>5</v>
      </c>
      <c r="F19" s="12">
        <v>5</v>
      </c>
      <c r="G19" s="12">
        <v>5</v>
      </c>
      <c r="H19" s="12">
        <v>5</v>
      </c>
      <c r="I19" s="12">
        <v>5</v>
      </c>
      <c r="J19" s="12">
        <v>5</v>
      </c>
      <c r="K19" s="13">
        <f t="shared" si="3"/>
        <v>35</v>
      </c>
      <c r="L19" s="12">
        <v>5</v>
      </c>
      <c r="M19" s="12">
        <v>5</v>
      </c>
      <c r="N19" s="12">
        <v>2</v>
      </c>
      <c r="O19" s="12">
        <v>5</v>
      </c>
      <c r="P19" s="12">
        <v>2</v>
      </c>
      <c r="Q19" s="12">
        <v>4</v>
      </c>
      <c r="R19" s="12">
        <v>4</v>
      </c>
      <c r="S19" s="12">
        <v>5</v>
      </c>
      <c r="T19" s="12">
        <v>5</v>
      </c>
      <c r="U19" s="12">
        <v>5</v>
      </c>
      <c r="V19" s="12">
        <v>5</v>
      </c>
      <c r="W19" s="12">
        <v>4</v>
      </c>
      <c r="X19" s="12">
        <v>1</v>
      </c>
      <c r="Y19" s="12">
        <v>3</v>
      </c>
      <c r="Z19" s="12">
        <v>3</v>
      </c>
      <c r="AA19" s="12">
        <v>3</v>
      </c>
      <c r="AB19" s="13">
        <f t="shared" si="4"/>
        <v>61</v>
      </c>
      <c r="AC19" s="14"/>
    </row>
    <row r="20" ht="162" spans="1:29">
      <c r="A20" s="15"/>
      <c r="B20" s="10" t="s">
        <v>109</v>
      </c>
      <c r="C20" s="11" t="s">
        <v>110</v>
      </c>
      <c r="D20" s="12">
        <v>5</v>
      </c>
      <c r="E20" s="12">
        <v>5</v>
      </c>
      <c r="F20" s="12">
        <v>5</v>
      </c>
      <c r="G20" s="12">
        <v>5</v>
      </c>
      <c r="H20" s="12">
        <v>5</v>
      </c>
      <c r="I20" s="12">
        <v>5</v>
      </c>
      <c r="J20" s="12">
        <v>4</v>
      </c>
      <c r="K20" s="13">
        <f t="shared" si="3"/>
        <v>34</v>
      </c>
      <c r="L20" s="12">
        <v>5</v>
      </c>
      <c r="M20" s="12">
        <v>5</v>
      </c>
      <c r="N20" s="12">
        <v>2</v>
      </c>
      <c r="O20" s="12">
        <v>5</v>
      </c>
      <c r="P20" s="12">
        <v>2</v>
      </c>
      <c r="Q20" s="12">
        <v>5</v>
      </c>
      <c r="R20" s="12">
        <v>4</v>
      </c>
      <c r="S20" s="12">
        <v>5</v>
      </c>
      <c r="T20" s="12">
        <v>5</v>
      </c>
      <c r="U20" s="12">
        <v>5</v>
      </c>
      <c r="V20" s="12">
        <v>5</v>
      </c>
      <c r="W20" s="12">
        <v>4</v>
      </c>
      <c r="X20" s="12">
        <v>2</v>
      </c>
      <c r="Y20" s="12">
        <v>3</v>
      </c>
      <c r="Z20" s="12">
        <v>3</v>
      </c>
      <c r="AA20" s="12">
        <v>5</v>
      </c>
      <c r="AB20" s="13">
        <f t="shared" si="4"/>
        <v>65</v>
      </c>
      <c r="AC20" s="14"/>
    </row>
    <row r="21" ht="175.5" spans="1:29">
      <c r="A21" s="15"/>
      <c r="B21" s="10" t="s">
        <v>111</v>
      </c>
      <c r="C21" s="11" t="s">
        <v>112</v>
      </c>
      <c r="D21" s="12">
        <v>5</v>
      </c>
      <c r="E21" s="12">
        <v>5</v>
      </c>
      <c r="F21" s="12">
        <v>5</v>
      </c>
      <c r="G21" s="12">
        <v>5</v>
      </c>
      <c r="H21" s="12">
        <v>5</v>
      </c>
      <c r="I21" s="12">
        <v>5</v>
      </c>
      <c r="J21" s="12">
        <v>5</v>
      </c>
      <c r="K21" s="13">
        <f t="shared" si="3"/>
        <v>35</v>
      </c>
      <c r="L21" s="12">
        <v>5</v>
      </c>
      <c r="M21" s="12">
        <v>5</v>
      </c>
      <c r="N21" s="12">
        <v>2</v>
      </c>
      <c r="O21" s="12">
        <v>5</v>
      </c>
      <c r="P21" s="12">
        <v>2</v>
      </c>
      <c r="Q21" s="12">
        <v>5</v>
      </c>
      <c r="R21" s="12">
        <v>4</v>
      </c>
      <c r="S21" s="12">
        <v>5</v>
      </c>
      <c r="T21" s="12">
        <v>5</v>
      </c>
      <c r="U21" s="12">
        <v>5</v>
      </c>
      <c r="V21" s="12">
        <v>5</v>
      </c>
      <c r="W21" s="12">
        <v>4</v>
      </c>
      <c r="X21" s="12">
        <v>2</v>
      </c>
      <c r="Y21" s="12">
        <v>3</v>
      </c>
      <c r="Z21" s="12">
        <v>3</v>
      </c>
      <c r="AA21" s="12">
        <v>5</v>
      </c>
      <c r="AB21" s="13">
        <f t="shared" si="4"/>
        <v>65</v>
      </c>
      <c r="AC21" s="14"/>
    </row>
    <row r="22" ht="256.5" spans="1:29">
      <c r="A22" s="22"/>
      <c r="B22" s="10" t="s">
        <v>113</v>
      </c>
      <c r="C22" s="11" t="s">
        <v>114</v>
      </c>
      <c r="D22" s="12">
        <v>5</v>
      </c>
      <c r="E22" s="12">
        <v>5</v>
      </c>
      <c r="F22" s="12">
        <v>5</v>
      </c>
      <c r="G22" s="12">
        <v>5</v>
      </c>
      <c r="H22" s="12">
        <v>5</v>
      </c>
      <c r="I22" s="12">
        <v>5</v>
      </c>
      <c r="J22" s="12">
        <v>5</v>
      </c>
      <c r="K22" s="13">
        <f t="shared" si="3"/>
        <v>35</v>
      </c>
      <c r="L22" s="12">
        <v>5</v>
      </c>
      <c r="M22" s="12">
        <v>5</v>
      </c>
      <c r="N22" s="12">
        <v>2</v>
      </c>
      <c r="O22" s="12">
        <v>5</v>
      </c>
      <c r="P22" s="12">
        <v>2</v>
      </c>
      <c r="Q22" s="12">
        <v>5</v>
      </c>
      <c r="R22" s="12">
        <v>4</v>
      </c>
      <c r="S22" s="12">
        <v>5</v>
      </c>
      <c r="T22" s="12">
        <v>5</v>
      </c>
      <c r="U22" s="12">
        <v>5</v>
      </c>
      <c r="V22" s="12">
        <v>5</v>
      </c>
      <c r="W22" s="12">
        <v>4</v>
      </c>
      <c r="X22" s="12">
        <v>3</v>
      </c>
      <c r="Y22" s="12">
        <v>3</v>
      </c>
      <c r="Z22" s="12">
        <v>3</v>
      </c>
      <c r="AA22" s="12">
        <v>5</v>
      </c>
      <c r="AB22" s="13">
        <f t="shared" si="4"/>
        <v>66</v>
      </c>
      <c r="AC22" s="14"/>
    </row>
    <row r="23" spans="1:29">
      <c r="D23">
        <f>AVERAGE(D12:D22)</f>
        <v>5</v>
      </c>
      <c r="E23">
        <f t="shared" ref="E23:AB23" si="5">AVERAGE(E12:E22)</f>
        <v>5</v>
      </c>
      <c r="F23">
        <f t="shared" si="5"/>
        <v>5</v>
      </c>
      <c r="G23">
        <f t="shared" si="5"/>
        <v>5</v>
      </c>
      <c r="H23">
        <f t="shared" si="5"/>
        <v>5</v>
      </c>
      <c r="I23">
        <f t="shared" si="5"/>
        <v>5</v>
      </c>
      <c r="J23">
        <f t="shared" si="5"/>
        <v>4.90909090909091</v>
      </c>
      <c r="K23">
        <f t="shared" si="5"/>
        <v>34.9090909090909</v>
      </c>
      <c r="L23">
        <f t="shared" si="5"/>
        <v>5</v>
      </c>
      <c r="M23">
        <f t="shared" si="5"/>
        <v>4.81818181818182</v>
      </c>
      <c r="N23">
        <f t="shared" si="5"/>
        <v>2.45454545454545</v>
      </c>
      <c r="O23">
        <f t="shared" si="5"/>
        <v>5</v>
      </c>
      <c r="P23">
        <f t="shared" si="5"/>
        <v>2</v>
      </c>
      <c r="Q23">
        <f t="shared" si="5"/>
        <v>4.27272727272727</v>
      </c>
      <c r="R23">
        <f t="shared" si="5"/>
        <v>4</v>
      </c>
      <c r="S23">
        <f t="shared" si="5"/>
        <v>5</v>
      </c>
      <c r="T23">
        <f t="shared" si="5"/>
        <v>5</v>
      </c>
      <c r="U23">
        <f t="shared" si="5"/>
        <v>5</v>
      </c>
      <c r="V23">
        <f t="shared" si="5"/>
        <v>5</v>
      </c>
      <c r="W23">
        <f t="shared" si="5"/>
        <v>4</v>
      </c>
      <c r="X23">
        <f t="shared" si="5"/>
        <v>2.27272727272727</v>
      </c>
      <c r="Y23">
        <f t="shared" si="5"/>
        <v>3.45454545454545</v>
      </c>
      <c r="Z23">
        <f t="shared" si="5"/>
        <v>3</v>
      </c>
      <c r="AA23">
        <f t="shared" si="5"/>
        <v>3.90909090909091</v>
      </c>
      <c r="AB23">
        <f t="shared" si="5"/>
        <v>64.1818181818182</v>
      </c>
    </row>
    <row r="25" ht="202.5" spans="1:29">
      <c r="A25" s="15" t="s">
        <v>293</v>
      </c>
      <c r="B25" s="10" t="s">
        <v>43</v>
      </c>
      <c r="C25" s="11" t="s">
        <v>44</v>
      </c>
      <c r="D25" s="12">
        <v>5</v>
      </c>
      <c r="E25" s="12">
        <v>4</v>
      </c>
      <c r="F25" s="12">
        <v>5</v>
      </c>
      <c r="G25" s="12">
        <v>5</v>
      </c>
      <c r="H25" s="12">
        <v>4</v>
      </c>
      <c r="I25" s="12">
        <v>5</v>
      </c>
      <c r="J25" s="12">
        <v>5</v>
      </c>
      <c r="K25" s="13">
        <f t="shared" ref="K20:K42" si="6">SUM(D25:J25)</f>
        <v>33</v>
      </c>
      <c r="L25" s="12">
        <v>5</v>
      </c>
      <c r="M25" s="12">
        <v>5</v>
      </c>
      <c r="N25" s="12">
        <v>3</v>
      </c>
      <c r="O25" s="12">
        <v>5</v>
      </c>
      <c r="P25" s="12">
        <v>4</v>
      </c>
      <c r="Q25" s="12">
        <v>3</v>
      </c>
      <c r="R25" s="12">
        <v>3</v>
      </c>
      <c r="S25" s="12">
        <v>5</v>
      </c>
      <c r="T25" s="12">
        <v>3</v>
      </c>
      <c r="U25" s="12">
        <v>5</v>
      </c>
      <c r="V25" s="12">
        <v>5</v>
      </c>
      <c r="W25" s="12">
        <v>5</v>
      </c>
      <c r="X25" s="12">
        <v>3</v>
      </c>
      <c r="Y25" s="12">
        <v>4</v>
      </c>
      <c r="Z25" s="12">
        <v>3</v>
      </c>
      <c r="AA25" s="12">
        <v>4</v>
      </c>
      <c r="AB25" s="13">
        <f t="shared" ref="AB20:AB42" si="7">SUM(L25:AA25)</f>
        <v>65</v>
      </c>
      <c r="AC25" s="13"/>
    </row>
    <row r="26" ht="148.5" spans="1:29">
      <c r="A26" s="15"/>
      <c r="B26" s="10" t="s">
        <v>45</v>
      </c>
      <c r="C26" s="11" t="s">
        <v>46</v>
      </c>
      <c r="D26" s="12">
        <v>5</v>
      </c>
      <c r="E26" s="12">
        <v>5</v>
      </c>
      <c r="F26" s="12">
        <v>5</v>
      </c>
      <c r="G26" s="12">
        <v>5</v>
      </c>
      <c r="H26" s="12">
        <v>4</v>
      </c>
      <c r="I26" s="12">
        <v>5</v>
      </c>
      <c r="J26" s="12">
        <v>5</v>
      </c>
      <c r="K26" s="13">
        <f t="shared" si="6"/>
        <v>34</v>
      </c>
      <c r="L26" s="12">
        <v>5</v>
      </c>
      <c r="M26" s="12">
        <v>5</v>
      </c>
      <c r="N26" s="12">
        <v>3</v>
      </c>
      <c r="O26" s="12">
        <v>5</v>
      </c>
      <c r="P26" s="12">
        <v>1</v>
      </c>
      <c r="Q26" s="12">
        <v>4</v>
      </c>
      <c r="R26" s="12">
        <v>4</v>
      </c>
      <c r="S26" s="12">
        <v>5</v>
      </c>
      <c r="T26" s="12">
        <v>5</v>
      </c>
      <c r="U26" s="12">
        <v>5</v>
      </c>
      <c r="V26" s="12">
        <v>5</v>
      </c>
      <c r="W26" s="12">
        <v>3</v>
      </c>
      <c r="X26" s="12">
        <v>1</v>
      </c>
      <c r="Y26" s="12">
        <v>3</v>
      </c>
      <c r="Z26" s="12">
        <v>3</v>
      </c>
      <c r="AA26" s="12">
        <v>3</v>
      </c>
      <c r="AB26" s="13">
        <f t="shared" si="7"/>
        <v>60</v>
      </c>
      <c r="AC26" s="14"/>
    </row>
    <row r="27" ht="135" spans="1:29">
      <c r="A27" s="15"/>
      <c r="B27" s="10" t="s">
        <v>47</v>
      </c>
      <c r="C27" s="11" t="s">
        <v>48</v>
      </c>
      <c r="D27" s="12">
        <v>5</v>
      </c>
      <c r="E27" s="12">
        <v>5</v>
      </c>
      <c r="F27" s="12">
        <v>5</v>
      </c>
      <c r="G27" s="12">
        <v>5</v>
      </c>
      <c r="H27" s="12">
        <v>5</v>
      </c>
      <c r="I27" s="12">
        <v>5</v>
      </c>
      <c r="J27" s="12">
        <v>5</v>
      </c>
      <c r="K27" s="13">
        <f t="shared" si="6"/>
        <v>35</v>
      </c>
      <c r="L27" s="12">
        <v>5</v>
      </c>
      <c r="M27" s="12">
        <v>5</v>
      </c>
      <c r="N27" s="12">
        <v>3</v>
      </c>
      <c r="O27" s="12">
        <v>5</v>
      </c>
      <c r="P27" s="12">
        <v>2</v>
      </c>
      <c r="Q27" s="12">
        <v>4</v>
      </c>
      <c r="R27" s="12">
        <v>3</v>
      </c>
      <c r="S27" s="12">
        <v>5</v>
      </c>
      <c r="T27" s="12">
        <v>5</v>
      </c>
      <c r="U27" s="12">
        <v>5</v>
      </c>
      <c r="V27" s="12">
        <v>5</v>
      </c>
      <c r="W27" s="12">
        <v>3</v>
      </c>
      <c r="X27" s="12">
        <v>2</v>
      </c>
      <c r="Y27" s="12">
        <v>3</v>
      </c>
      <c r="Z27" s="12">
        <v>3</v>
      </c>
      <c r="AA27" s="12">
        <v>3</v>
      </c>
      <c r="AB27" s="13">
        <f t="shared" si="7"/>
        <v>61</v>
      </c>
      <c r="AC27" s="14"/>
    </row>
    <row r="28" ht="135" spans="1:29">
      <c r="A28" s="15"/>
      <c r="B28" s="10" t="s">
        <v>49</v>
      </c>
      <c r="C28" s="11" t="s">
        <v>50</v>
      </c>
      <c r="D28" s="12">
        <v>5</v>
      </c>
      <c r="E28" s="12">
        <v>5</v>
      </c>
      <c r="F28" s="12">
        <v>5</v>
      </c>
      <c r="G28" s="12">
        <v>5</v>
      </c>
      <c r="H28" s="12">
        <v>5</v>
      </c>
      <c r="I28" s="12">
        <v>5</v>
      </c>
      <c r="J28" s="12">
        <v>5</v>
      </c>
      <c r="K28" s="13">
        <f t="shared" si="6"/>
        <v>35</v>
      </c>
      <c r="L28" s="12">
        <v>5</v>
      </c>
      <c r="M28" s="12">
        <v>5</v>
      </c>
      <c r="N28" s="12">
        <v>3</v>
      </c>
      <c r="O28" s="12">
        <v>5</v>
      </c>
      <c r="P28" s="12">
        <v>2</v>
      </c>
      <c r="Q28" s="12">
        <v>4</v>
      </c>
      <c r="R28" s="12">
        <v>3</v>
      </c>
      <c r="S28" s="12">
        <v>5</v>
      </c>
      <c r="T28" s="12">
        <v>5</v>
      </c>
      <c r="U28" s="12">
        <v>5</v>
      </c>
      <c r="V28" s="12">
        <v>5</v>
      </c>
      <c r="W28" s="12">
        <v>2</v>
      </c>
      <c r="X28" s="12">
        <v>2</v>
      </c>
      <c r="Y28" s="12">
        <v>3</v>
      </c>
      <c r="Z28" s="12">
        <v>3</v>
      </c>
      <c r="AA28" s="12">
        <v>3</v>
      </c>
      <c r="AB28" s="13">
        <f t="shared" si="7"/>
        <v>60</v>
      </c>
      <c r="AC28" s="14"/>
    </row>
    <row r="29" ht="98" customHeight="1" spans="1:29">
      <c r="A29" s="15"/>
      <c r="B29" s="10" t="s">
        <v>51</v>
      </c>
      <c r="C29" s="11" t="s">
        <v>52</v>
      </c>
      <c r="D29" s="12">
        <v>5</v>
      </c>
      <c r="E29" s="12">
        <v>5</v>
      </c>
      <c r="F29" s="12">
        <v>5</v>
      </c>
      <c r="G29" s="12">
        <v>5</v>
      </c>
      <c r="H29" s="12">
        <v>5</v>
      </c>
      <c r="I29" s="12">
        <v>5</v>
      </c>
      <c r="J29" s="12">
        <v>5</v>
      </c>
      <c r="K29" s="13">
        <f t="shared" si="6"/>
        <v>35</v>
      </c>
      <c r="L29" s="12">
        <v>5</v>
      </c>
      <c r="M29" s="12">
        <v>5</v>
      </c>
      <c r="N29" s="12">
        <v>3</v>
      </c>
      <c r="O29" s="12">
        <v>5</v>
      </c>
      <c r="P29" s="12">
        <v>1</v>
      </c>
      <c r="Q29" s="12">
        <v>4</v>
      </c>
      <c r="R29" s="12">
        <v>4</v>
      </c>
      <c r="S29" s="12">
        <v>5</v>
      </c>
      <c r="T29" s="12">
        <v>5</v>
      </c>
      <c r="U29" s="12">
        <v>5</v>
      </c>
      <c r="V29" s="12">
        <v>5</v>
      </c>
      <c r="W29" s="12">
        <v>3</v>
      </c>
      <c r="X29" s="12">
        <v>2</v>
      </c>
      <c r="Y29" s="12">
        <v>3</v>
      </c>
      <c r="Z29" s="12">
        <v>3</v>
      </c>
      <c r="AA29" s="12">
        <v>3</v>
      </c>
      <c r="AB29" s="13">
        <f t="shared" si="7"/>
        <v>61</v>
      </c>
      <c r="AC29" s="14"/>
    </row>
    <row r="30" ht="148.5" spans="1:29">
      <c r="A30" s="15"/>
      <c r="B30" s="10" t="s">
        <v>53</v>
      </c>
      <c r="C30" s="11" t="s">
        <v>54</v>
      </c>
      <c r="D30" s="12">
        <v>4</v>
      </c>
      <c r="E30" s="12">
        <v>5</v>
      </c>
      <c r="F30" s="12">
        <v>4</v>
      </c>
      <c r="G30" s="12">
        <v>5</v>
      </c>
      <c r="H30" s="12">
        <v>5</v>
      </c>
      <c r="I30" s="12">
        <v>5</v>
      </c>
      <c r="J30" s="12">
        <v>5</v>
      </c>
      <c r="K30" s="13">
        <f t="shared" si="6"/>
        <v>33</v>
      </c>
      <c r="L30" s="12">
        <v>5</v>
      </c>
      <c r="M30" s="12">
        <v>5</v>
      </c>
      <c r="N30" s="12">
        <v>3</v>
      </c>
      <c r="O30" s="12">
        <v>5</v>
      </c>
      <c r="P30" s="12">
        <v>1</v>
      </c>
      <c r="Q30" s="12">
        <v>4</v>
      </c>
      <c r="R30" s="12">
        <v>4</v>
      </c>
      <c r="S30" s="12">
        <v>5</v>
      </c>
      <c r="T30" s="12">
        <v>5</v>
      </c>
      <c r="U30" s="12">
        <v>5</v>
      </c>
      <c r="V30" s="12">
        <v>5</v>
      </c>
      <c r="W30" s="12">
        <v>3</v>
      </c>
      <c r="X30" s="12">
        <v>2</v>
      </c>
      <c r="Y30" s="12">
        <v>4</v>
      </c>
      <c r="Z30" s="12">
        <v>3</v>
      </c>
      <c r="AA30" s="12">
        <v>4</v>
      </c>
      <c r="AB30" s="13">
        <f t="shared" si="7"/>
        <v>63</v>
      </c>
      <c r="AC30" s="14"/>
    </row>
    <row r="31" ht="121.5" spans="1:29">
      <c r="A31" s="15"/>
      <c r="B31" s="10" t="s">
        <v>55</v>
      </c>
      <c r="C31" s="11" t="s">
        <v>56</v>
      </c>
      <c r="D31" s="12">
        <v>5</v>
      </c>
      <c r="E31" s="12">
        <v>5</v>
      </c>
      <c r="F31" s="12">
        <v>5</v>
      </c>
      <c r="G31" s="12">
        <v>5</v>
      </c>
      <c r="H31" s="12">
        <v>5</v>
      </c>
      <c r="I31" s="12">
        <v>5</v>
      </c>
      <c r="J31" s="12">
        <v>5</v>
      </c>
      <c r="K31" s="13">
        <f t="shared" si="6"/>
        <v>35</v>
      </c>
      <c r="L31" s="12">
        <v>5</v>
      </c>
      <c r="M31" s="12">
        <v>5</v>
      </c>
      <c r="N31" s="12">
        <v>3</v>
      </c>
      <c r="O31" s="12">
        <v>5</v>
      </c>
      <c r="P31" s="12">
        <v>2</v>
      </c>
      <c r="Q31" s="12">
        <v>4</v>
      </c>
      <c r="R31" s="12">
        <v>4</v>
      </c>
      <c r="S31" s="12">
        <v>5</v>
      </c>
      <c r="T31" s="12">
        <v>5</v>
      </c>
      <c r="U31" s="12">
        <v>5</v>
      </c>
      <c r="V31" s="12">
        <v>5</v>
      </c>
      <c r="W31" s="12">
        <v>3</v>
      </c>
      <c r="X31" s="12">
        <v>2</v>
      </c>
      <c r="Y31" s="12">
        <v>3</v>
      </c>
      <c r="Z31" s="12">
        <v>3</v>
      </c>
      <c r="AA31" s="12">
        <v>3</v>
      </c>
      <c r="AB31" s="13">
        <f t="shared" si="7"/>
        <v>62</v>
      </c>
      <c r="AC31" s="14"/>
    </row>
    <row r="32" ht="135" spans="1:29">
      <c r="A32" s="15"/>
      <c r="B32" s="10" t="s">
        <v>57</v>
      </c>
      <c r="C32" s="11" t="s">
        <v>58</v>
      </c>
      <c r="D32" s="12">
        <v>5</v>
      </c>
      <c r="E32" s="12">
        <v>5</v>
      </c>
      <c r="F32" s="12">
        <v>5</v>
      </c>
      <c r="G32" s="12">
        <v>5</v>
      </c>
      <c r="H32" s="12">
        <v>5</v>
      </c>
      <c r="I32" s="12">
        <v>5</v>
      </c>
      <c r="J32" s="12">
        <v>5</v>
      </c>
      <c r="K32" s="13">
        <f t="shared" si="6"/>
        <v>35</v>
      </c>
      <c r="L32" s="12">
        <v>5</v>
      </c>
      <c r="M32" s="12">
        <v>5</v>
      </c>
      <c r="N32" s="12">
        <v>3</v>
      </c>
      <c r="O32" s="12">
        <v>5</v>
      </c>
      <c r="P32" s="12">
        <v>2</v>
      </c>
      <c r="Q32" s="12">
        <v>4</v>
      </c>
      <c r="R32" s="12">
        <v>4</v>
      </c>
      <c r="S32" s="12">
        <v>5</v>
      </c>
      <c r="T32" s="12">
        <v>5</v>
      </c>
      <c r="U32" s="12">
        <v>5</v>
      </c>
      <c r="V32" s="12">
        <v>5</v>
      </c>
      <c r="W32" s="12">
        <v>4</v>
      </c>
      <c r="X32" s="12">
        <v>3</v>
      </c>
      <c r="Y32" s="12">
        <v>4</v>
      </c>
      <c r="Z32" s="12">
        <v>3</v>
      </c>
      <c r="AA32" s="12">
        <v>4</v>
      </c>
      <c r="AB32" s="13">
        <f t="shared" si="7"/>
        <v>66</v>
      </c>
      <c r="AC32" s="14"/>
    </row>
    <row r="33" ht="108" spans="1:29">
      <c r="A33" s="15"/>
      <c r="B33" s="10" t="s">
        <v>59</v>
      </c>
      <c r="C33" s="11" t="s">
        <v>60</v>
      </c>
      <c r="D33" s="12">
        <v>5</v>
      </c>
      <c r="E33" s="12">
        <v>5</v>
      </c>
      <c r="F33" s="12">
        <v>5</v>
      </c>
      <c r="G33" s="12">
        <v>5</v>
      </c>
      <c r="H33" s="12">
        <v>5</v>
      </c>
      <c r="I33" s="12">
        <v>5</v>
      </c>
      <c r="J33" s="12">
        <v>5</v>
      </c>
      <c r="K33" s="13">
        <f t="shared" si="6"/>
        <v>35</v>
      </c>
      <c r="L33" s="12">
        <v>5</v>
      </c>
      <c r="M33" s="12">
        <v>5</v>
      </c>
      <c r="N33" s="12">
        <v>3</v>
      </c>
      <c r="O33" s="12">
        <v>5</v>
      </c>
      <c r="P33" s="12">
        <v>2</v>
      </c>
      <c r="Q33" s="12">
        <v>4</v>
      </c>
      <c r="R33" s="12">
        <v>4</v>
      </c>
      <c r="S33" s="12">
        <v>5</v>
      </c>
      <c r="T33" s="12">
        <v>5</v>
      </c>
      <c r="U33" s="12">
        <v>5</v>
      </c>
      <c r="V33" s="12">
        <v>5</v>
      </c>
      <c r="W33" s="12">
        <v>3</v>
      </c>
      <c r="X33" s="12">
        <v>2</v>
      </c>
      <c r="Y33" s="12">
        <v>3</v>
      </c>
      <c r="Z33" s="12">
        <v>3</v>
      </c>
      <c r="AA33" s="12">
        <v>3</v>
      </c>
      <c r="AB33" s="13">
        <f t="shared" si="7"/>
        <v>62</v>
      </c>
      <c r="AC33" s="14"/>
    </row>
    <row r="34" ht="202.5" spans="1:29">
      <c r="A34" s="15"/>
      <c r="B34" s="10" t="s">
        <v>61</v>
      </c>
      <c r="C34" s="11" t="s">
        <v>62</v>
      </c>
      <c r="D34" s="12">
        <v>4</v>
      </c>
      <c r="E34" s="12">
        <v>5</v>
      </c>
      <c r="F34" s="12">
        <v>5</v>
      </c>
      <c r="G34" s="12">
        <v>5</v>
      </c>
      <c r="H34" s="12">
        <v>5</v>
      </c>
      <c r="I34" s="12">
        <v>5</v>
      </c>
      <c r="J34" s="12">
        <v>5</v>
      </c>
      <c r="K34" s="13">
        <f t="shared" si="6"/>
        <v>34</v>
      </c>
      <c r="L34" s="12">
        <v>4</v>
      </c>
      <c r="M34" s="12">
        <v>5</v>
      </c>
      <c r="N34" s="12">
        <v>3</v>
      </c>
      <c r="O34" s="12">
        <v>5</v>
      </c>
      <c r="P34" s="12">
        <v>3</v>
      </c>
      <c r="Q34" s="12">
        <v>4</v>
      </c>
      <c r="R34" s="12">
        <v>4</v>
      </c>
      <c r="S34" s="12">
        <v>5</v>
      </c>
      <c r="T34" s="12">
        <v>5</v>
      </c>
      <c r="U34" s="12">
        <v>5</v>
      </c>
      <c r="V34" s="12">
        <v>5</v>
      </c>
      <c r="W34" s="12">
        <v>4</v>
      </c>
      <c r="X34" s="12">
        <v>3</v>
      </c>
      <c r="Y34" s="12">
        <v>4</v>
      </c>
      <c r="Z34" s="12">
        <v>3</v>
      </c>
      <c r="AA34" s="12">
        <v>4</v>
      </c>
      <c r="AB34" s="13">
        <f t="shared" si="7"/>
        <v>66</v>
      </c>
      <c r="AC34" s="14"/>
    </row>
    <row r="35" ht="108" spans="1:29">
      <c r="A35" s="15"/>
      <c r="B35" s="10" t="s">
        <v>63</v>
      </c>
      <c r="C35" s="11" t="s">
        <v>64</v>
      </c>
      <c r="D35" s="12">
        <v>5</v>
      </c>
      <c r="E35" s="12">
        <v>5</v>
      </c>
      <c r="F35" s="12">
        <v>5</v>
      </c>
      <c r="G35" s="12">
        <v>5</v>
      </c>
      <c r="H35" s="12">
        <v>5</v>
      </c>
      <c r="I35" s="12">
        <v>5</v>
      </c>
      <c r="J35" s="12">
        <v>5</v>
      </c>
      <c r="K35" s="13">
        <f t="shared" si="6"/>
        <v>35</v>
      </c>
      <c r="L35" s="12">
        <v>5</v>
      </c>
      <c r="M35" s="12">
        <v>5</v>
      </c>
      <c r="N35" s="12">
        <v>3</v>
      </c>
      <c r="O35" s="12">
        <v>5</v>
      </c>
      <c r="P35" s="12">
        <v>1</v>
      </c>
      <c r="Q35" s="12">
        <v>4</v>
      </c>
      <c r="R35" s="12">
        <v>4</v>
      </c>
      <c r="S35" s="12">
        <v>5</v>
      </c>
      <c r="T35" s="12">
        <v>5</v>
      </c>
      <c r="U35" s="12">
        <v>5</v>
      </c>
      <c r="V35" s="12">
        <v>5</v>
      </c>
      <c r="W35" s="12">
        <v>3</v>
      </c>
      <c r="X35" s="12">
        <v>2</v>
      </c>
      <c r="Y35" s="12">
        <v>3</v>
      </c>
      <c r="Z35" s="12">
        <v>3</v>
      </c>
      <c r="AA35" s="12">
        <v>3</v>
      </c>
      <c r="AB35" s="13">
        <f t="shared" si="7"/>
        <v>61</v>
      </c>
      <c r="AC35" s="14"/>
    </row>
    <row r="36" ht="189" spans="1:29">
      <c r="A36" s="15"/>
      <c r="B36" s="10" t="s">
        <v>65</v>
      </c>
      <c r="C36" s="11" t="s">
        <v>66</v>
      </c>
      <c r="D36" s="12">
        <v>4</v>
      </c>
      <c r="E36" s="12">
        <v>5</v>
      </c>
      <c r="F36" s="12">
        <v>5</v>
      </c>
      <c r="G36" s="12">
        <v>5</v>
      </c>
      <c r="H36" s="12">
        <v>5</v>
      </c>
      <c r="I36" s="12">
        <v>5</v>
      </c>
      <c r="J36" s="12">
        <v>5</v>
      </c>
      <c r="K36" s="13">
        <f t="shared" si="6"/>
        <v>34</v>
      </c>
      <c r="L36" s="12">
        <v>5</v>
      </c>
      <c r="M36" s="12">
        <v>5</v>
      </c>
      <c r="N36" s="12">
        <v>3</v>
      </c>
      <c r="O36" s="12">
        <v>5</v>
      </c>
      <c r="P36" s="12">
        <v>3</v>
      </c>
      <c r="Q36" s="12">
        <v>4</v>
      </c>
      <c r="R36" s="12">
        <v>4</v>
      </c>
      <c r="S36" s="12">
        <v>5</v>
      </c>
      <c r="T36" s="12">
        <v>5</v>
      </c>
      <c r="U36" s="12">
        <v>5</v>
      </c>
      <c r="V36" s="12">
        <v>5</v>
      </c>
      <c r="W36" s="12">
        <v>4</v>
      </c>
      <c r="X36" s="12">
        <v>3</v>
      </c>
      <c r="Y36" s="12">
        <v>4</v>
      </c>
      <c r="Z36" s="12">
        <v>3</v>
      </c>
      <c r="AA36" s="12">
        <v>4</v>
      </c>
      <c r="AB36" s="13">
        <f t="shared" si="7"/>
        <v>67</v>
      </c>
      <c r="AC36" s="14"/>
    </row>
    <row r="37" ht="135" spans="1:29">
      <c r="A37" s="15"/>
      <c r="B37" s="10" t="s">
        <v>67</v>
      </c>
      <c r="C37" s="11" t="s">
        <v>68</v>
      </c>
      <c r="D37" s="12">
        <v>5</v>
      </c>
      <c r="E37" s="12">
        <v>5</v>
      </c>
      <c r="F37" s="12">
        <v>5</v>
      </c>
      <c r="G37" s="12">
        <v>5</v>
      </c>
      <c r="H37" s="12">
        <v>5</v>
      </c>
      <c r="I37" s="12">
        <v>5</v>
      </c>
      <c r="J37" s="12">
        <v>5</v>
      </c>
      <c r="K37" s="13">
        <f t="shared" si="6"/>
        <v>35</v>
      </c>
      <c r="L37" s="12">
        <v>5</v>
      </c>
      <c r="M37" s="12">
        <v>5</v>
      </c>
      <c r="N37" s="12">
        <v>3</v>
      </c>
      <c r="O37" s="12">
        <v>5</v>
      </c>
      <c r="P37" s="12">
        <v>1</v>
      </c>
      <c r="Q37" s="12">
        <v>4</v>
      </c>
      <c r="R37" s="12">
        <v>4</v>
      </c>
      <c r="S37" s="12">
        <v>5</v>
      </c>
      <c r="T37" s="12">
        <v>5</v>
      </c>
      <c r="U37" s="12">
        <v>5</v>
      </c>
      <c r="V37" s="12">
        <v>5</v>
      </c>
      <c r="W37" s="12">
        <v>2</v>
      </c>
      <c r="X37" s="12">
        <v>2</v>
      </c>
      <c r="Y37" s="12">
        <v>3</v>
      </c>
      <c r="Z37" s="12">
        <v>3</v>
      </c>
      <c r="AA37" s="12">
        <v>3</v>
      </c>
      <c r="AB37" s="13">
        <f t="shared" si="7"/>
        <v>60</v>
      </c>
      <c r="AC37" s="14"/>
    </row>
    <row r="38" ht="121.5" spans="1:29">
      <c r="A38" s="15"/>
      <c r="B38" s="10" t="s">
        <v>69</v>
      </c>
      <c r="C38" s="11" t="s">
        <v>70</v>
      </c>
      <c r="D38" s="12">
        <v>5</v>
      </c>
      <c r="E38" s="12">
        <v>5</v>
      </c>
      <c r="F38" s="12">
        <v>5</v>
      </c>
      <c r="G38" s="12">
        <v>5</v>
      </c>
      <c r="H38" s="12">
        <v>5</v>
      </c>
      <c r="I38" s="12">
        <v>5</v>
      </c>
      <c r="J38" s="12">
        <v>4</v>
      </c>
      <c r="K38" s="13">
        <f t="shared" si="6"/>
        <v>34</v>
      </c>
      <c r="L38" s="12">
        <v>5</v>
      </c>
      <c r="M38" s="12">
        <v>5</v>
      </c>
      <c r="N38" s="12">
        <v>3</v>
      </c>
      <c r="O38" s="12">
        <v>5</v>
      </c>
      <c r="P38" s="12">
        <v>1</v>
      </c>
      <c r="Q38" s="12">
        <v>4</v>
      </c>
      <c r="R38" s="12">
        <v>4</v>
      </c>
      <c r="S38" s="12">
        <v>5</v>
      </c>
      <c r="T38" s="12">
        <v>5</v>
      </c>
      <c r="U38" s="12">
        <v>5</v>
      </c>
      <c r="V38" s="12">
        <v>5</v>
      </c>
      <c r="W38" s="12">
        <v>2</v>
      </c>
      <c r="X38" s="12">
        <v>2</v>
      </c>
      <c r="Y38" s="12">
        <v>3</v>
      </c>
      <c r="Z38" s="12">
        <v>3</v>
      </c>
      <c r="AA38" s="12">
        <v>3</v>
      </c>
      <c r="AB38" s="13">
        <f t="shared" si="7"/>
        <v>60</v>
      </c>
      <c r="AC38" s="14"/>
    </row>
    <row r="39" ht="148.5" spans="1:29">
      <c r="A39" s="15"/>
      <c r="B39" s="10" t="s">
        <v>71</v>
      </c>
      <c r="C39" s="11" t="s">
        <v>72</v>
      </c>
      <c r="D39" s="12">
        <v>5</v>
      </c>
      <c r="E39" s="12">
        <v>5</v>
      </c>
      <c r="F39" s="12">
        <v>5</v>
      </c>
      <c r="G39" s="12">
        <v>5</v>
      </c>
      <c r="H39" s="12">
        <v>5</v>
      </c>
      <c r="I39" s="12">
        <v>5</v>
      </c>
      <c r="J39" s="12">
        <v>5</v>
      </c>
      <c r="K39" s="13">
        <f t="shared" si="6"/>
        <v>35</v>
      </c>
      <c r="L39" s="12">
        <v>5</v>
      </c>
      <c r="M39" s="12">
        <v>5</v>
      </c>
      <c r="N39" s="12">
        <v>3</v>
      </c>
      <c r="O39" s="12">
        <v>5</v>
      </c>
      <c r="P39" s="12">
        <v>3</v>
      </c>
      <c r="Q39" s="12">
        <v>5</v>
      </c>
      <c r="R39" s="12">
        <v>4</v>
      </c>
      <c r="S39" s="12">
        <v>5</v>
      </c>
      <c r="T39" s="12">
        <v>5</v>
      </c>
      <c r="U39" s="12">
        <v>5</v>
      </c>
      <c r="V39" s="12">
        <v>5</v>
      </c>
      <c r="W39" s="12">
        <v>2</v>
      </c>
      <c r="X39" s="12">
        <v>2</v>
      </c>
      <c r="Y39" s="12">
        <v>4</v>
      </c>
      <c r="Z39" s="12">
        <v>3</v>
      </c>
      <c r="AA39" s="12">
        <v>4</v>
      </c>
      <c r="AB39" s="13">
        <f t="shared" si="7"/>
        <v>65</v>
      </c>
      <c r="AC39" s="14"/>
    </row>
    <row r="40" ht="256.5" spans="1:29">
      <c r="A40" s="15"/>
      <c r="B40" s="10" t="s">
        <v>73</v>
      </c>
      <c r="C40" s="11" t="s">
        <v>74</v>
      </c>
      <c r="D40" s="12">
        <v>5</v>
      </c>
      <c r="E40" s="12">
        <v>5</v>
      </c>
      <c r="F40" s="12">
        <v>5</v>
      </c>
      <c r="G40" s="12">
        <v>5</v>
      </c>
      <c r="H40" s="12">
        <v>5</v>
      </c>
      <c r="I40" s="12">
        <v>5</v>
      </c>
      <c r="J40" s="12">
        <v>4</v>
      </c>
      <c r="K40" s="13">
        <f t="shared" si="6"/>
        <v>34</v>
      </c>
      <c r="L40" s="12">
        <v>5</v>
      </c>
      <c r="M40" s="12">
        <v>5</v>
      </c>
      <c r="N40" s="12">
        <v>3</v>
      </c>
      <c r="O40" s="12">
        <v>5</v>
      </c>
      <c r="P40" s="12">
        <v>2</v>
      </c>
      <c r="Q40" s="12">
        <v>5</v>
      </c>
      <c r="R40" s="12">
        <v>4</v>
      </c>
      <c r="S40" s="12">
        <v>5</v>
      </c>
      <c r="T40" s="12">
        <v>5</v>
      </c>
      <c r="U40" s="12">
        <v>5</v>
      </c>
      <c r="V40" s="12">
        <v>5</v>
      </c>
      <c r="W40" s="12">
        <v>3</v>
      </c>
      <c r="X40" s="12">
        <v>2</v>
      </c>
      <c r="Y40" s="12">
        <v>3</v>
      </c>
      <c r="Z40" s="12">
        <v>3</v>
      </c>
      <c r="AA40" s="12">
        <v>3</v>
      </c>
      <c r="AB40" s="13">
        <f t="shared" si="7"/>
        <v>63</v>
      </c>
      <c r="AC40" s="14"/>
    </row>
    <row r="41" ht="287" customHeight="1" spans="1:29">
      <c r="A41" s="15"/>
      <c r="B41" s="10" t="s">
        <v>75</v>
      </c>
      <c r="C41" s="11" t="s">
        <v>76</v>
      </c>
      <c r="D41" s="12">
        <v>5</v>
      </c>
      <c r="E41" s="12">
        <v>5</v>
      </c>
      <c r="F41" s="12">
        <v>5</v>
      </c>
      <c r="G41" s="12">
        <v>5</v>
      </c>
      <c r="H41" s="12">
        <v>5</v>
      </c>
      <c r="I41" s="12">
        <v>5</v>
      </c>
      <c r="J41" s="12">
        <v>4</v>
      </c>
      <c r="K41" s="13">
        <f t="shared" si="6"/>
        <v>34</v>
      </c>
      <c r="L41" s="12">
        <v>5</v>
      </c>
      <c r="M41" s="12">
        <v>5</v>
      </c>
      <c r="N41" s="12">
        <v>3</v>
      </c>
      <c r="O41" s="12">
        <v>5</v>
      </c>
      <c r="P41" s="12">
        <v>3</v>
      </c>
      <c r="Q41" s="12">
        <v>5</v>
      </c>
      <c r="R41" s="12">
        <v>4</v>
      </c>
      <c r="S41" s="12">
        <v>5</v>
      </c>
      <c r="T41" s="12">
        <v>5</v>
      </c>
      <c r="U41" s="12">
        <v>5</v>
      </c>
      <c r="V41" s="12">
        <v>5</v>
      </c>
      <c r="W41" s="12">
        <v>3</v>
      </c>
      <c r="X41" s="12">
        <v>3</v>
      </c>
      <c r="Y41" s="12">
        <v>4</v>
      </c>
      <c r="Z41" s="12">
        <v>3</v>
      </c>
      <c r="AA41" s="12">
        <v>4</v>
      </c>
      <c r="AB41" s="13">
        <f t="shared" si="7"/>
        <v>67</v>
      </c>
      <c r="AC41" s="14"/>
    </row>
    <row r="42" ht="180" customHeight="1" spans="1:29">
      <c r="A42" s="15"/>
      <c r="B42" s="10" t="s">
        <v>77</v>
      </c>
      <c r="C42" s="11" t="s">
        <v>78</v>
      </c>
      <c r="D42" s="12">
        <v>5</v>
      </c>
      <c r="E42" s="12">
        <v>5</v>
      </c>
      <c r="F42" s="12">
        <v>5</v>
      </c>
      <c r="G42" s="12">
        <v>5</v>
      </c>
      <c r="H42" s="12">
        <v>5</v>
      </c>
      <c r="I42" s="12">
        <v>5</v>
      </c>
      <c r="J42" s="12">
        <v>5</v>
      </c>
      <c r="K42" s="13">
        <f t="shared" si="6"/>
        <v>35</v>
      </c>
      <c r="L42" s="12">
        <v>5</v>
      </c>
      <c r="M42" s="12">
        <v>5</v>
      </c>
      <c r="N42" s="12">
        <v>2</v>
      </c>
      <c r="O42" s="12">
        <v>5</v>
      </c>
      <c r="P42" s="12">
        <v>1</v>
      </c>
      <c r="Q42" s="12">
        <v>5</v>
      </c>
      <c r="R42" s="12">
        <v>4</v>
      </c>
      <c r="S42" s="12">
        <v>5</v>
      </c>
      <c r="T42" s="12">
        <v>5</v>
      </c>
      <c r="U42" s="12">
        <v>5</v>
      </c>
      <c r="V42" s="12">
        <v>5</v>
      </c>
      <c r="W42" s="12">
        <v>4</v>
      </c>
      <c r="X42" s="12">
        <v>2</v>
      </c>
      <c r="Y42" s="12">
        <v>3</v>
      </c>
      <c r="Z42" s="12">
        <v>3</v>
      </c>
      <c r="AA42" s="12">
        <v>3</v>
      </c>
      <c r="AB42" s="13">
        <f t="shared" si="7"/>
        <v>62</v>
      </c>
      <c r="AC42" s="14"/>
    </row>
    <row r="43" spans="1:29">
      <c r="D43">
        <f>AVERAGE(D25:D42)</f>
        <v>4.83333333333333</v>
      </c>
      <c r="E43">
        <f t="shared" ref="E43:AB43" si="8">AVERAGE(E25:E42)</f>
        <v>4.94444444444444</v>
      </c>
      <c r="F43">
        <f t="shared" si="8"/>
        <v>4.94444444444444</v>
      </c>
      <c r="G43">
        <f t="shared" si="8"/>
        <v>5</v>
      </c>
      <c r="H43">
        <f t="shared" si="8"/>
        <v>4.88888888888889</v>
      </c>
      <c r="I43">
        <f t="shared" si="8"/>
        <v>5</v>
      </c>
      <c r="J43">
        <f t="shared" si="8"/>
        <v>4.83333333333333</v>
      </c>
      <c r="K43">
        <f t="shared" si="8"/>
        <v>34.4444444444444</v>
      </c>
      <c r="L43">
        <f t="shared" si="8"/>
        <v>4.94444444444444</v>
      </c>
      <c r="M43">
        <f t="shared" si="8"/>
        <v>5</v>
      </c>
      <c r="N43">
        <f t="shared" si="8"/>
        <v>2.94444444444444</v>
      </c>
      <c r="O43">
        <f t="shared" si="8"/>
        <v>5</v>
      </c>
      <c r="P43">
        <f t="shared" si="8"/>
        <v>1.94444444444444</v>
      </c>
      <c r="Q43">
        <f t="shared" si="8"/>
        <v>4.16666666666667</v>
      </c>
      <c r="R43">
        <f t="shared" si="8"/>
        <v>3.83333333333333</v>
      </c>
      <c r="S43">
        <f t="shared" si="8"/>
        <v>5</v>
      </c>
      <c r="T43">
        <f t="shared" si="8"/>
        <v>4.88888888888889</v>
      </c>
      <c r="U43">
        <f t="shared" si="8"/>
        <v>5</v>
      </c>
      <c r="V43">
        <f t="shared" si="8"/>
        <v>5</v>
      </c>
      <c r="W43">
        <f t="shared" si="8"/>
        <v>3.11111111111111</v>
      </c>
      <c r="X43">
        <f t="shared" si="8"/>
        <v>2.22222222222222</v>
      </c>
      <c r="Y43">
        <f t="shared" si="8"/>
        <v>3.38888888888889</v>
      </c>
      <c r="Z43">
        <f t="shared" si="8"/>
        <v>3</v>
      </c>
      <c r="AA43">
        <f t="shared" si="8"/>
        <v>3.38888888888889</v>
      </c>
      <c r="AB43">
        <f t="shared" si="8"/>
        <v>62.8333333333333</v>
      </c>
    </row>
    <row r="45" ht="297" spans="1:29">
      <c r="A45" s="9" t="s">
        <v>294</v>
      </c>
      <c r="B45" s="10" t="s">
        <v>80</v>
      </c>
      <c r="C45" s="11" t="s">
        <v>81</v>
      </c>
      <c r="D45" s="12">
        <v>5</v>
      </c>
      <c r="E45" s="12">
        <v>5</v>
      </c>
      <c r="F45" s="12">
        <v>5</v>
      </c>
      <c r="G45" s="12">
        <v>5</v>
      </c>
      <c r="H45" s="12">
        <v>5</v>
      </c>
      <c r="I45" s="12">
        <v>5</v>
      </c>
      <c r="J45" s="12">
        <v>5</v>
      </c>
      <c r="K45" s="13">
        <f t="shared" ref="K45:K58" si="9">SUM(D45:J45)</f>
        <v>35</v>
      </c>
      <c r="L45" s="12">
        <v>5</v>
      </c>
      <c r="M45" s="12">
        <v>5</v>
      </c>
      <c r="N45" s="12">
        <v>2</v>
      </c>
      <c r="O45" s="12">
        <v>5</v>
      </c>
      <c r="P45" s="12">
        <v>2</v>
      </c>
      <c r="Q45" s="12">
        <v>5</v>
      </c>
      <c r="R45" s="12">
        <v>4</v>
      </c>
      <c r="S45" s="12">
        <v>5</v>
      </c>
      <c r="T45" s="12">
        <v>5</v>
      </c>
      <c r="U45" s="12">
        <v>5</v>
      </c>
      <c r="V45" s="12">
        <v>5</v>
      </c>
      <c r="W45" s="12">
        <v>4</v>
      </c>
      <c r="X45" s="12">
        <v>3</v>
      </c>
      <c r="Y45" s="12">
        <v>4</v>
      </c>
      <c r="Z45" s="12">
        <v>3</v>
      </c>
      <c r="AA45" s="12">
        <v>4</v>
      </c>
      <c r="AB45" s="13">
        <f t="shared" ref="AB45:AB58" si="10">SUM(L45:AA45)</f>
        <v>66</v>
      </c>
      <c r="AC45" s="14"/>
    </row>
    <row r="46" ht="148.5" spans="1:29">
      <c r="A46" s="15"/>
      <c r="B46" s="10" t="s">
        <v>82</v>
      </c>
      <c r="C46" s="11" t="s">
        <v>83</v>
      </c>
      <c r="D46" s="12">
        <v>5</v>
      </c>
      <c r="E46" s="12">
        <v>5</v>
      </c>
      <c r="F46" s="12">
        <v>5</v>
      </c>
      <c r="G46" s="12">
        <v>5</v>
      </c>
      <c r="H46" s="12">
        <v>5</v>
      </c>
      <c r="I46" s="12">
        <v>5</v>
      </c>
      <c r="J46" s="12">
        <v>4</v>
      </c>
      <c r="K46" s="13">
        <f t="shared" si="9"/>
        <v>34</v>
      </c>
      <c r="L46" s="12">
        <v>5</v>
      </c>
      <c r="M46" s="12">
        <v>5</v>
      </c>
      <c r="N46" s="12">
        <v>3</v>
      </c>
      <c r="O46" s="12">
        <v>5</v>
      </c>
      <c r="P46" s="12">
        <v>3</v>
      </c>
      <c r="Q46" s="12">
        <v>5</v>
      </c>
      <c r="R46" s="12">
        <v>4</v>
      </c>
      <c r="S46" s="12">
        <v>5</v>
      </c>
      <c r="T46" s="12">
        <v>5</v>
      </c>
      <c r="U46" s="12">
        <v>5</v>
      </c>
      <c r="V46" s="12">
        <v>5</v>
      </c>
      <c r="W46" s="12">
        <v>4</v>
      </c>
      <c r="X46" s="12">
        <v>3</v>
      </c>
      <c r="Y46" s="12">
        <v>4</v>
      </c>
      <c r="Z46" s="12">
        <v>3</v>
      </c>
      <c r="AA46" s="12">
        <v>4</v>
      </c>
      <c r="AB46" s="13">
        <f t="shared" si="10"/>
        <v>68</v>
      </c>
      <c r="AC46" s="14"/>
    </row>
    <row r="47" ht="189" spans="1:29">
      <c r="A47" s="15"/>
      <c r="B47" s="10" t="s">
        <v>84</v>
      </c>
      <c r="C47" s="11" t="s">
        <v>85</v>
      </c>
      <c r="D47" s="12">
        <v>5</v>
      </c>
      <c r="E47" s="12">
        <v>5</v>
      </c>
      <c r="F47" s="12">
        <v>5</v>
      </c>
      <c r="G47" s="12">
        <v>5</v>
      </c>
      <c r="H47" s="12">
        <v>5</v>
      </c>
      <c r="I47" s="12">
        <v>5</v>
      </c>
      <c r="J47" s="12">
        <v>5</v>
      </c>
      <c r="K47" s="13">
        <f t="shared" si="9"/>
        <v>35</v>
      </c>
      <c r="L47" s="12">
        <v>5</v>
      </c>
      <c r="M47" s="12">
        <v>5</v>
      </c>
      <c r="N47" s="12">
        <v>3</v>
      </c>
      <c r="O47" s="12">
        <v>5</v>
      </c>
      <c r="P47" s="12">
        <v>3</v>
      </c>
      <c r="Q47" s="12">
        <v>5</v>
      </c>
      <c r="R47" s="12">
        <v>4</v>
      </c>
      <c r="S47" s="12">
        <v>5</v>
      </c>
      <c r="T47" s="12">
        <v>5</v>
      </c>
      <c r="U47" s="12">
        <v>5</v>
      </c>
      <c r="V47" s="12">
        <v>5</v>
      </c>
      <c r="W47" s="12">
        <v>4</v>
      </c>
      <c r="X47" s="12">
        <v>3</v>
      </c>
      <c r="Y47" s="12">
        <v>4</v>
      </c>
      <c r="Z47" s="12">
        <v>3</v>
      </c>
      <c r="AA47" s="12">
        <v>4</v>
      </c>
      <c r="AB47" s="13">
        <f t="shared" si="10"/>
        <v>68</v>
      </c>
      <c r="AC47" s="14"/>
    </row>
    <row r="48" ht="202.5" spans="1:29">
      <c r="A48" s="15"/>
      <c r="B48" s="10" t="s">
        <v>86</v>
      </c>
      <c r="C48" s="11" t="s">
        <v>87</v>
      </c>
      <c r="D48" s="12">
        <v>5</v>
      </c>
      <c r="E48" s="12">
        <v>5</v>
      </c>
      <c r="F48" s="12">
        <v>5</v>
      </c>
      <c r="G48" s="12">
        <v>5</v>
      </c>
      <c r="H48" s="12">
        <v>5</v>
      </c>
      <c r="I48" s="12">
        <v>5</v>
      </c>
      <c r="J48" s="12">
        <v>4</v>
      </c>
      <c r="K48" s="13">
        <f t="shared" si="9"/>
        <v>34</v>
      </c>
      <c r="L48" s="12">
        <v>5</v>
      </c>
      <c r="M48" s="12">
        <v>5</v>
      </c>
      <c r="N48" s="12">
        <v>3</v>
      </c>
      <c r="O48" s="12">
        <v>5</v>
      </c>
      <c r="P48" s="12">
        <v>3</v>
      </c>
      <c r="Q48" s="12">
        <v>5</v>
      </c>
      <c r="R48" s="12">
        <v>4</v>
      </c>
      <c r="S48" s="12">
        <v>5</v>
      </c>
      <c r="T48" s="12">
        <v>5</v>
      </c>
      <c r="U48" s="12">
        <v>5</v>
      </c>
      <c r="V48" s="12">
        <v>5</v>
      </c>
      <c r="W48" s="12">
        <v>3</v>
      </c>
      <c r="X48" s="12">
        <v>3</v>
      </c>
      <c r="Y48" s="12">
        <v>4</v>
      </c>
      <c r="Z48" s="12">
        <v>3</v>
      </c>
      <c r="AA48" s="12">
        <v>4</v>
      </c>
      <c r="AB48" s="13">
        <f t="shared" si="10"/>
        <v>67</v>
      </c>
      <c r="AC48" s="13"/>
    </row>
    <row r="49" ht="229.5" spans="1:29">
      <c r="A49" s="15"/>
      <c r="B49" s="10" t="s">
        <v>88</v>
      </c>
      <c r="C49" s="11" t="s">
        <v>89</v>
      </c>
      <c r="D49" s="12">
        <v>5</v>
      </c>
      <c r="E49" s="12">
        <v>5</v>
      </c>
      <c r="F49" s="12">
        <v>5</v>
      </c>
      <c r="G49" s="12">
        <v>5</v>
      </c>
      <c r="H49" s="12">
        <v>5</v>
      </c>
      <c r="I49" s="12">
        <v>5</v>
      </c>
      <c r="J49" s="12">
        <v>5</v>
      </c>
      <c r="K49" s="13">
        <f t="shared" si="9"/>
        <v>35</v>
      </c>
      <c r="L49" s="12">
        <v>5</v>
      </c>
      <c r="M49" s="12">
        <v>5</v>
      </c>
      <c r="N49" s="12">
        <v>2</v>
      </c>
      <c r="O49" s="12">
        <v>5</v>
      </c>
      <c r="P49" s="12">
        <v>2</v>
      </c>
      <c r="Q49" s="12">
        <v>5</v>
      </c>
      <c r="R49" s="12">
        <v>4</v>
      </c>
      <c r="S49" s="12">
        <v>5</v>
      </c>
      <c r="T49" s="12">
        <v>5</v>
      </c>
      <c r="U49" s="12">
        <v>5</v>
      </c>
      <c r="V49" s="12">
        <v>5</v>
      </c>
      <c r="W49" s="12">
        <v>3</v>
      </c>
      <c r="X49" s="12">
        <v>3</v>
      </c>
      <c r="Y49" s="12">
        <v>4</v>
      </c>
      <c r="Z49" s="12">
        <v>3</v>
      </c>
      <c r="AA49" s="12">
        <v>4</v>
      </c>
      <c r="AB49" s="13">
        <f t="shared" si="10"/>
        <v>65</v>
      </c>
      <c r="AC49" s="14"/>
    </row>
    <row r="50" ht="229.5" spans="1:29">
      <c r="A50" s="15"/>
      <c r="B50" s="10" t="s">
        <v>90</v>
      </c>
      <c r="C50" s="11" t="s">
        <v>91</v>
      </c>
      <c r="D50" s="12">
        <v>5</v>
      </c>
      <c r="E50" s="12">
        <v>5</v>
      </c>
      <c r="F50" s="12">
        <v>5</v>
      </c>
      <c r="G50" s="12">
        <v>5</v>
      </c>
      <c r="H50" s="12">
        <v>5</v>
      </c>
      <c r="I50" s="12">
        <v>5</v>
      </c>
      <c r="J50" s="12">
        <v>5</v>
      </c>
      <c r="K50" s="13">
        <f t="shared" si="9"/>
        <v>35</v>
      </c>
      <c r="L50" s="12">
        <v>5</v>
      </c>
      <c r="M50" s="12">
        <v>5</v>
      </c>
      <c r="N50" s="12">
        <v>2</v>
      </c>
      <c r="O50" s="12">
        <v>5</v>
      </c>
      <c r="P50" s="12">
        <v>3</v>
      </c>
      <c r="Q50" s="12">
        <v>5</v>
      </c>
      <c r="R50" s="12">
        <v>4</v>
      </c>
      <c r="S50" s="12">
        <v>5</v>
      </c>
      <c r="T50" s="12">
        <v>5</v>
      </c>
      <c r="U50" s="12">
        <v>5</v>
      </c>
      <c r="V50" s="12">
        <v>5</v>
      </c>
      <c r="W50" s="12">
        <v>2</v>
      </c>
      <c r="X50" s="12">
        <v>3</v>
      </c>
      <c r="Y50" s="12">
        <v>4</v>
      </c>
      <c r="Z50" s="12">
        <v>3</v>
      </c>
      <c r="AA50" s="12">
        <v>4</v>
      </c>
      <c r="AB50" s="13">
        <f t="shared" si="10"/>
        <v>65</v>
      </c>
      <c r="AC50" s="14"/>
    </row>
    <row r="51" ht="243" spans="1:29">
      <c r="A51" s="15"/>
      <c r="B51" s="10" t="s">
        <v>92</v>
      </c>
      <c r="C51" s="11" t="s">
        <v>93</v>
      </c>
      <c r="D51" s="12">
        <v>5</v>
      </c>
      <c r="E51" s="12">
        <v>5</v>
      </c>
      <c r="F51" s="12">
        <v>5</v>
      </c>
      <c r="G51" s="12">
        <v>5</v>
      </c>
      <c r="H51" s="12">
        <v>5</v>
      </c>
      <c r="I51" s="12">
        <v>5</v>
      </c>
      <c r="J51" s="12">
        <v>5</v>
      </c>
      <c r="K51" s="13">
        <f t="shared" si="9"/>
        <v>35</v>
      </c>
      <c r="L51" s="12">
        <v>5</v>
      </c>
      <c r="M51" s="12">
        <v>5</v>
      </c>
      <c r="N51" s="12">
        <v>2</v>
      </c>
      <c r="O51" s="12">
        <v>5</v>
      </c>
      <c r="P51" s="12">
        <v>3</v>
      </c>
      <c r="Q51" s="12">
        <v>5</v>
      </c>
      <c r="R51" s="12">
        <v>4</v>
      </c>
      <c r="S51" s="12">
        <v>5</v>
      </c>
      <c r="T51" s="12">
        <v>5</v>
      </c>
      <c r="U51" s="12">
        <v>5</v>
      </c>
      <c r="V51" s="12">
        <v>5</v>
      </c>
      <c r="W51" s="12">
        <v>2</v>
      </c>
      <c r="X51" s="12">
        <v>3</v>
      </c>
      <c r="Y51" s="12">
        <v>4</v>
      </c>
      <c r="Z51" s="12">
        <v>3</v>
      </c>
      <c r="AA51" s="12">
        <v>4</v>
      </c>
      <c r="AB51" s="13">
        <f t="shared" si="10"/>
        <v>65</v>
      </c>
      <c r="AC51" s="14"/>
    </row>
    <row r="52" ht="229.5" spans="1:29">
      <c r="A52" s="15"/>
      <c r="B52" s="10" t="s">
        <v>94</v>
      </c>
      <c r="C52" s="11" t="s">
        <v>95</v>
      </c>
      <c r="D52" s="12">
        <v>5</v>
      </c>
      <c r="E52" s="12">
        <v>5</v>
      </c>
      <c r="F52" s="12">
        <v>5</v>
      </c>
      <c r="G52" s="12">
        <v>5</v>
      </c>
      <c r="H52" s="12">
        <v>5</v>
      </c>
      <c r="I52" s="12">
        <v>5</v>
      </c>
      <c r="J52" s="12">
        <v>5</v>
      </c>
      <c r="K52" s="13">
        <f t="shared" si="9"/>
        <v>35</v>
      </c>
      <c r="L52" s="12">
        <v>5</v>
      </c>
      <c r="M52" s="12">
        <v>5</v>
      </c>
      <c r="N52" s="12">
        <v>2</v>
      </c>
      <c r="O52" s="12">
        <v>5</v>
      </c>
      <c r="P52" s="12">
        <v>3</v>
      </c>
      <c r="Q52" s="12">
        <v>5</v>
      </c>
      <c r="R52" s="12">
        <v>4</v>
      </c>
      <c r="S52" s="12">
        <v>5</v>
      </c>
      <c r="T52" s="12">
        <v>5</v>
      </c>
      <c r="U52" s="12">
        <v>5</v>
      </c>
      <c r="V52" s="12">
        <v>5</v>
      </c>
      <c r="W52" s="12">
        <v>2</v>
      </c>
      <c r="X52" s="12">
        <v>2</v>
      </c>
      <c r="Y52" s="12">
        <v>4</v>
      </c>
      <c r="Z52" s="12">
        <v>3</v>
      </c>
      <c r="AA52" s="12">
        <v>4</v>
      </c>
      <c r="AB52" s="13">
        <f t="shared" si="10"/>
        <v>64</v>
      </c>
      <c r="AC52" s="14"/>
    </row>
    <row r="53" ht="378" customHeight="1" spans="1:29">
      <c r="A53" s="15"/>
      <c r="B53" s="10" t="s">
        <v>96</v>
      </c>
      <c r="C53" s="11" t="s">
        <v>97</v>
      </c>
      <c r="D53" s="12">
        <v>5</v>
      </c>
      <c r="E53" s="12">
        <v>5</v>
      </c>
      <c r="F53" s="12">
        <v>5</v>
      </c>
      <c r="G53" s="12">
        <v>5</v>
      </c>
      <c r="H53" s="12">
        <v>5</v>
      </c>
      <c r="I53" s="12">
        <v>5</v>
      </c>
      <c r="J53" s="12">
        <v>5</v>
      </c>
      <c r="K53" s="13">
        <f t="shared" si="9"/>
        <v>35</v>
      </c>
      <c r="L53" s="12">
        <v>5</v>
      </c>
      <c r="M53" s="12">
        <v>5</v>
      </c>
      <c r="N53" s="12">
        <v>2</v>
      </c>
      <c r="O53" s="12">
        <v>5</v>
      </c>
      <c r="P53" s="12">
        <v>3</v>
      </c>
      <c r="Q53" s="12">
        <v>5</v>
      </c>
      <c r="R53" s="12">
        <v>4</v>
      </c>
      <c r="S53" s="12">
        <v>5</v>
      </c>
      <c r="T53" s="12">
        <v>5</v>
      </c>
      <c r="U53" s="12">
        <v>5</v>
      </c>
      <c r="V53" s="12">
        <v>5</v>
      </c>
      <c r="W53" s="12">
        <v>2</v>
      </c>
      <c r="X53" s="12">
        <v>2</v>
      </c>
      <c r="Y53" s="12">
        <v>4</v>
      </c>
      <c r="Z53" s="12">
        <v>3</v>
      </c>
      <c r="AA53" s="12">
        <v>4</v>
      </c>
      <c r="AB53" s="13">
        <f t="shared" si="10"/>
        <v>64</v>
      </c>
      <c r="AC53" s="14"/>
    </row>
    <row r="54" ht="229.5" spans="1:29">
      <c r="A54" s="15"/>
      <c r="B54" s="10" t="s">
        <v>98</v>
      </c>
      <c r="C54" s="11" t="s">
        <v>99</v>
      </c>
      <c r="D54" s="12">
        <v>5</v>
      </c>
      <c r="E54" s="12">
        <v>5</v>
      </c>
      <c r="F54" s="12">
        <v>5</v>
      </c>
      <c r="G54" s="12">
        <v>5</v>
      </c>
      <c r="H54" s="12">
        <v>5</v>
      </c>
      <c r="I54" s="12">
        <v>5</v>
      </c>
      <c r="J54" s="12">
        <v>5</v>
      </c>
      <c r="K54" s="13">
        <f t="shared" si="9"/>
        <v>35</v>
      </c>
      <c r="L54" s="12">
        <v>5</v>
      </c>
      <c r="M54" s="12">
        <v>5</v>
      </c>
      <c r="N54" s="12">
        <v>2</v>
      </c>
      <c r="O54" s="12">
        <v>5</v>
      </c>
      <c r="P54" s="12">
        <v>3</v>
      </c>
      <c r="Q54" s="12">
        <v>5</v>
      </c>
      <c r="R54" s="12">
        <v>4</v>
      </c>
      <c r="S54" s="12">
        <v>5</v>
      </c>
      <c r="T54" s="12">
        <v>5</v>
      </c>
      <c r="U54" s="12">
        <v>5</v>
      </c>
      <c r="V54" s="12">
        <v>5</v>
      </c>
      <c r="W54" s="12">
        <v>2</v>
      </c>
      <c r="X54" s="12">
        <v>3</v>
      </c>
      <c r="Y54" s="12">
        <v>4</v>
      </c>
      <c r="Z54" s="12">
        <v>3</v>
      </c>
      <c r="AA54" s="12">
        <v>4</v>
      </c>
      <c r="AB54" s="13">
        <f t="shared" si="10"/>
        <v>65</v>
      </c>
      <c r="AC54" s="14"/>
    </row>
    <row r="55" ht="175.5" spans="1:29">
      <c r="A55" s="15"/>
      <c r="B55" s="10" t="s">
        <v>100</v>
      </c>
      <c r="C55" s="11" t="s">
        <v>101</v>
      </c>
      <c r="D55" s="12">
        <v>5</v>
      </c>
      <c r="E55" s="12">
        <v>5</v>
      </c>
      <c r="F55" s="12">
        <v>5</v>
      </c>
      <c r="G55" s="12">
        <v>5</v>
      </c>
      <c r="H55" s="12">
        <v>5</v>
      </c>
      <c r="I55" s="12">
        <v>5</v>
      </c>
      <c r="J55" s="12">
        <v>5</v>
      </c>
      <c r="K55" s="13">
        <f t="shared" si="9"/>
        <v>35</v>
      </c>
      <c r="L55" s="12">
        <v>5</v>
      </c>
      <c r="M55" s="12">
        <v>5</v>
      </c>
      <c r="N55" s="12">
        <v>3</v>
      </c>
      <c r="O55" s="12">
        <v>5</v>
      </c>
      <c r="P55" s="12">
        <v>3</v>
      </c>
      <c r="Q55" s="12">
        <v>5</v>
      </c>
      <c r="R55" s="12">
        <v>4</v>
      </c>
      <c r="S55" s="12">
        <v>5</v>
      </c>
      <c r="T55" s="12">
        <v>5</v>
      </c>
      <c r="U55" s="12">
        <v>5</v>
      </c>
      <c r="V55" s="12">
        <v>5</v>
      </c>
      <c r="W55" s="12">
        <v>4</v>
      </c>
      <c r="X55" s="12">
        <v>3</v>
      </c>
      <c r="Y55" s="12">
        <v>4</v>
      </c>
      <c r="Z55" s="12">
        <v>3</v>
      </c>
      <c r="AA55" s="12">
        <v>4</v>
      </c>
      <c r="AB55" s="13">
        <f t="shared" si="10"/>
        <v>68</v>
      </c>
      <c r="AC55" s="14"/>
    </row>
    <row r="56" ht="242" customHeight="1" spans="1:29">
      <c r="A56" s="15"/>
      <c r="B56" s="10" t="s">
        <v>102</v>
      </c>
      <c r="C56" s="11" t="s">
        <v>103</v>
      </c>
      <c r="D56" s="12">
        <v>5</v>
      </c>
      <c r="E56" s="12">
        <v>5</v>
      </c>
      <c r="F56" s="12">
        <v>5</v>
      </c>
      <c r="G56" s="12">
        <v>5</v>
      </c>
      <c r="H56" s="12">
        <v>5</v>
      </c>
      <c r="I56" s="12">
        <v>5</v>
      </c>
      <c r="J56" s="12">
        <v>5</v>
      </c>
      <c r="K56" s="13">
        <f t="shared" si="9"/>
        <v>35</v>
      </c>
      <c r="L56" s="12">
        <v>5</v>
      </c>
      <c r="M56" s="12">
        <v>5</v>
      </c>
      <c r="N56" s="12">
        <v>3</v>
      </c>
      <c r="O56" s="12">
        <v>5</v>
      </c>
      <c r="P56" s="12">
        <v>3</v>
      </c>
      <c r="Q56" s="12">
        <v>5</v>
      </c>
      <c r="R56" s="12">
        <v>4</v>
      </c>
      <c r="S56" s="12">
        <v>5</v>
      </c>
      <c r="T56" s="12">
        <v>5</v>
      </c>
      <c r="U56" s="12">
        <v>5</v>
      </c>
      <c r="V56" s="12">
        <v>5</v>
      </c>
      <c r="W56" s="12">
        <v>4</v>
      </c>
      <c r="X56" s="12">
        <v>3</v>
      </c>
      <c r="Y56" s="12">
        <v>4</v>
      </c>
      <c r="Z56" s="12">
        <v>3</v>
      </c>
      <c r="AA56" s="12">
        <v>5</v>
      </c>
      <c r="AB56" s="13">
        <f t="shared" si="10"/>
        <v>69</v>
      </c>
      <c r="AC56" s="14"/>
    </row>
    <row r="57" ht="203" customHeight="1" spans="1:29">
      <c r="A57" s="15"/>
      <c r="B57" s="10" t="s">
        <v>104</v>
      </c>
      <c r="C57" s="11" t="s">
        <v>105</v>
      </c>
      <c r="D57" s="12">
        <v>5</v>
      </c>
      <c r="E57" s="12">
        <v>5</v>
      </c>
      <c r="F57" s="12">
        <v>5</v>
      </c>
      <c r="G57" s="12">
        <v>5</v>
      </c>
      <c r="H57" s="12">
        <v>5</v>
      </c>
      <c r="I57" s="12">
        <v>5</v>
      </c>
      <c r="J57" s="12">
        <v>5</v>
      </c>
      <c r="K57" s="13">
        <f t="shared" si="9"/>
        <v>35</v>
      </c>
      <c r="L57" s="12">
        <v>5</v>
      </c>
      <c r="M57" s="12">
        <v>5</v>
      </c>
      <c r="N57" s="12">
        <v>3</v>
      </c>
      <c r="O57" s="12">
        <v>5</v>
      </c>
      <c r="P57" s="12">
        <v>3</v>
      </c>
      <c r="Q57" s="12">
        <v>5</v>
      </c>
      <c r="R57" s="12">
        <v>4</v>
      </c>
      <c r="S57" s="12">
        <v>5</v>
      </c>
      <c r="T57" s="12">
        <v>5</v>
      </c>
      <c r="U57" s="12">
        <v>5</v>
      </c>
      <c r="V57" s="12">
        <v>5</v>
      </c>
      <c r="W57" s="12">
        <v>4</v>
      </c>
      <c r="X57" s="12">
        <v>3</v>
      </c>
      <c r="Y57" s="12">
        <v>4</v>
      </c>
      <c r="Z57" s="12">
        <v>3</v>
      </c>
      <c r="AA57" s="12">
        <v>4</v>
      </c>
      <c r="AB57" s="13">
        <f t="shared" si="10"/>
        <v>68</v>
      </c>
      <c r="AC57" s="14"/>
    </row>
    <row r="58" ht="176" customHeight="1" spans="1:29">
      <c r="A58" s="15"/>
      <c r="B58" s="10" t="s">
        <v>106</v>
      </c>
      <c r="C58" s="11" t="s">
        <v>107</v>
      </c>
      <c r="D58" s="12">
        <v>5</v>
      </c>
      <c r="E58" s="12">
        <v>5</v>
      </c>
      <c r="F58" s="12">
        <v>5</v>
      </c>
      <c r="G58" s="12">
        <v>5</v>
      </c>
      <c r="H58" s="12">
        <v>5</v>
      </c>
      <c r="I58" s="12">
        <v>5</v>
      </c>
      <c r="J58" s="12">
        <v>5</v>
      </c>
      <c r="K58" s="13">
        <f t="shared" si="9"/>
        <v>35</v>
      </c>
      <c r="L58" s="12">
        <v>5</v>
      </c>
      <c r="M58" s="12">
        <v>5</v>
      </c>
      <c r="N58" s="12">
        <v>3</v>
      </c>
      <c r="O58" s="12">
        <v>5</v>
      </c>
      <c r="P58" s="12">
        <v>3</v>
      </c>
      <c r="Q58" s="12">
        <v>5</v>
      </c>
      <c r="R58" s="12">
        <v>4</v>
      </c>
      <c r="S58" s="12">
        <v>5</v>
      </c>
      <c r="T58" s="12">
        <v>5</v>
      </c>
      <c r="U58" s="12">
        <v>5</v>
      </c>
      <c r="V58" s="12">
        <v>5</v>
      </c>
      <c r="W58" s="12">
        <v>4</v>
      </c>
      <c r="X58" s="12">
        <v>3</v>
      </c>
      <c r="Y58" s="12">
        <v>4</v>
      </c>
      <c r="Z58" s="12">
        <v>3</v>
      </c>
      <c r="AA58" s="12">
        <v>4</v>
      </c>
      <c r="AB58" s="13">
        <f t="shared" si="10"/>
        <v>68</v>
      </c>
      <c r="AC58" s="14"/>
    </row>
    <row r="59" spans="1:29">
      <c r="D59">
        <f>AVERAGE(D45:D58)</f>
        <v>5</v>
      </c>
      <c r="E59">
        <f t="shared" ref="E59:AB59" si="11">AVERAGE(E45:E58)</f>
        <v>5</v>
      </c>
      <c r="F59">
        <f t="shared" si="11"/>
        <v>5</v>
      </c>
      <c r="G59">
        <f t="shared" si="11"/>
        <v>5</v>
      </c>
      <c r="H59">
        <f t="shared" si="11"/>
        <v>5</v>
      </c>
      <c r="I59">
        <f t="shared" si="11"/>
        <v>5</v>
      </c>
      <c r="J59">
        <f t="shared" si="11"/>
        <v>4.85714285714286</v>
      </c>
      <c r="K59">
        <f t="shared" si="11"/>
        <v>34.8571428571429</v>
      </c>
      <c r="L59">
        <f t="shared" si="11"/>
        <v>5</v>
      </c>
      <c r="M59">
        <f t="shared" si="11"/>
        <v>5</v>
      </c>
      <c r="N59">
        <f t="shared" si="11"/>
        <v>2.5</v>
      </c>
      <c r="O59">
        <f t="shared" si="11"/>
        <v>5</v>
      </c>
      <c r="P59">
        <f t="shared" si="11"/>
        <v>2.85714285714286</v>
      </c>
      <c r="Q59">
        <f t="shared" si="11"/>
        <v>5</v>
      </c>
      <c r="R59">
        <f t="shared" si="11"/>
        <v>4</v>
      </c>
      <c r="S59">
        <f t="shared" si="11"/>
        <v>5</v>
      </c>
      <c r="T59">
        <f t="shared" si="11"/>
        <v>5</v>
      </c>
      <c r="U59">
        <f t="shared" si="11"/>
        <v>5</v>
      </c>
      <c r="V59">
        <f t="shared" si="11"/>
        <v>5</v>
      </c>
      <c r="W59">
        <f t="shared" si="11"/>
        <v>3.14285714285714</v>
      </c>
      <c r="X59">
        <f t="shared" si="11"/>
        <v>2.85714285714286</v>
      </c>
      <c r="Y59">
        <f t="shared" si="11"/>
        <v>4</v>
      </c>
      <c r="Z59">
        <f t="shared" si="11"/>
        <v>3</v>
      </c>
      <c r="AA59">
        <f t="shared" si="11"/>
        <v>4.07142857142857</v>
      </c>
      <c r="AB59">
        <f t="shared" si="11"/>
        <v>66.4285714285714</v>
      </c>
    </row>
  </sheetData>
  <mergeCells count="6">
    <mergeCell ref="A1:AB1"/>
    <mergeCell ref="A3:A9"/>
    <mergeCell ref="A12:A18"/>
    <mergeCell ref="A20:A22"/>
    <mergeCell ref="A25:A42"/>
    <mergeCell ref="A45:A5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zoomScale="40" zoomScaleNormal="40" workbookViewId="0">
      <selection activeCell="AC1" sqref="AC$1:AC$1048576"/>
    </sheetView>
  </sheetViews>
  <sheetFormatPr defaultColWidth="9.02654867256637" defaultRowHeight="13.5"/>
  <cols>
    <col min="2" max="2" width="50.0530973451327" customWidth="1"/>
    <col min="3" max="3" width="56.8230088495575"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132</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153" customHeight="1" spans="1:29">
      <c r="A3" s="9" t="s">
        <v>291</v>
      </c>
      <c r="B3" s="10" t="s">
        <v>134</v>
      </c>
      <c r="C3" s="11" t="s">
        <v>135</v>
      </c>
      <c r="D3" s="12">
        <v>5</v>
      </c>
      <c r="E3" s="12">
        <v>5</v>
      </c>
      <c r="F3" s="12">
        <v>5</v>
      </c>
      <c r="G3" s="12">
        <v>5</v>
      </c>
      <c r="H3" s="12">
        <v>5</v>
      </c>
      <c r="I3" s="12">
        <v>5</v>
      </c>
      <c r="J3" s="12">
        <v>5</v>
      </c>
      <c r="K3" s="13">
        <f t="shared" ref="K3:K12" si="0">SUM(D3:J3)</f>
        <v>35</v>
      </c>
      <c r="L3" s="12">
        <v>5</v>
      </c>
      <c r="M3" s="12">
        <v>5</v>
      </c>
      <c r="N3" s="12">
        <v>3</v>
      </c>
      <c r="O3" s="12">
        <v>5</v>
      </c>
      <c r="P3" s="12">
        <v>1</v>
      </c>
      <c r="Q3" s="12">
        <v>4</v>
      </c>
      <c r="R3" s="12">
        <v>4</v>
      </c>
      <c r="S3" s="12">
        <v>5</v>
      </c>
      <c r="T3" s="12">
        <v>5</v>
      </c>
      <c r="U3" s="12">
        <v>5</v>
      </c>
      <c r="V3" s="12">
        <v>5</v>
      </c>
      <c r="W3" s="12">
        <v>3</v>
      </c>
      <c r="X3" s="12">
        <v>1</v>
      </c>
      <c r="Y3" s="12">
        <v>4</v>
      </c>
      <c r="Z3" s="12">
        <v>3</v>
      </c>
      <c r="AA3" s="12">
        <v>4</v>
      </c>
      <c r="AB3" s="13">
        <f t="shared" ref="AB3:AB12" si="1">SUM(L3:AA3)</f>
        <v>62</v>
      </c>
      <c r="AC3" s="14"/>
    </row>
    <row r="4" ht="121.5" spans="1:29">
      <c r="A4" s="15"/>
      <c r="B4" s="10" t="s">
        <v>136</v>
      </c>
      <c r="C4" s="11" t="s">
        <v>137</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3</v>
      </c>
      <c r="X4" s="12">
        <v>1</v>
      </c>
      <c r="Y4" s="12">
        <v>3</v>
      </c>
      <c r="Z4" s="12">
        <v>3</v>
      </c>
      <c r="AA4" s="12">
        <v>3</v>
      </c>
      <c r="AB4" s="13">
        <f t="shared" si="1"/>
        <v>57</v>
      </c>
      <c r="AC4" s="14"/>
    </row>
    <row r="5" ht="153" customHeight="1" spans="1:29">
      <c r="A5" s="15"/>
      <c r="B5" s="10" t="s">
        <v>138</v>
      </c>
      <c r="C5" s="11" t="s">
        <v>139</v>
      </c>
      <c r="D5" s="12">
        <v>5</v>
      </c>
      <c r="E5" s="12">
        <v>5</v>
      </c>
      <c r="F5" s="12">
        <v>5</v>
      </c>
      <c r="G5" s="12">
        <v>5</v>
      </c>
      <c r="H5" s="12">
        <v>5</v>
      </c>
      <c r="I5" s="12">
        <v>5</v>
      </c>
      <c r="J5" s="12">
        <v>5</v>
      </c>
      <c r="K5" s="13">
        <f t="shared" si="0"/>
        <v>35</v>
      </c>
      <c r="L5" s="12">
        <v>5</v>
      </c>
      <c r="M5" s="12">
        <v>5</v>
      </c>
      <c r="N5" s="12">
        <v>3</v>
      </c>
      <c r="O5" s="12">
        <v>4</v>
      </c>
      <c r="P5" s="12">
        <v>3</v>
      </c>
      <c r="Q5" s="12">
        <v>4</v>
      </c>
      <c r="R5" s="12">
        <v>4</v>
      </c>
      <c r="S5" s="12">
        <v>3</v>
      </c>
      <c r="T5" s="12">
        <v>5</v>
      </c>
      <c r="U5" s="12">
        <v>5</v>
      </c>
      <c r="V5" s="12">
        <v>5</v>
      </c>
      <c r="W5" s="12">
        <v>4</v>
      </c>
      <c r="X5" s="12">
        <v>2</v>
      </c>
      <c r="Y5" s="12">
        <v>4</v>
      </c>
      <c r="Z5" s="12">
        <v>3</v>
      </c>
      <c r="AA5" s="12">
        <v>4</v>
      </c>
      <c r="AB5" s="13">
        <f t="shared" si="1"/>
        <v>63</v>
      </c>
      <c r="AC5" s="14"/>
    </row>
    <row r="6" ht="94" customHeight="1" spans="1:29">
      <c r="A6" s="15"/>
      <c r="B6" s="10" t="s">
        <v>140</v>
      </c>
      <c r="C6" s="11" t="s">
        <v>141</v>
      </c>
      <c r="D6" s="12">
        <v>5</v>
      </c>
      <c r="E6" s="12">
        <v>5</v>
      </c>
      <c r="F6" s="12">
        <v>5</v>
      </c>
      <c r="G6" s="12">
        <v>5</v>
      </c>
      <c r="H6" s="12">
        <v>5</v>
      </c>
      <c r="I6" s="12">
        <v>5</v>
      </c>
      <c r="J6" s="12">
        <v>5</v>
      </c>
      <c r="K6" s="13">
        <f t="shared" si="0"/>
        <v>35</v>
      </c>
      <c r="L6" s="12">
        <v>5</v>
      </c>
      <c r="M6" s="12">
        <v>4</v>
      </c>
      <c r="N6" s="12">
        <v>3</v>
      </c>
      <c r="O6" s="12">
        <v>5</v>
      </c>
      <c r="P6" s="12">
        <v>2</v>
      </c>
      <c r="Q6" s="12">
        <v>4</v>
      </c>
      <c r="R6" s="12">
        <v>4</v>
      </c>
      <c r="S6" s="12">
        <v>5</v>
      </c>
      <c r="T6" s="12">
        <v>5</v>
      </c>
      <c r="U6" s="12">
        <v>5</v>
      </c>
      <c r="V6" s="12">
        <v>5</v>
      </c>
      <c r="W6" s="12">
        <v>4</v>
      </c>
      <c r="X6" s="12">
        <v>1</v>
      </c>
      <c r="Y6" s="12">
        <v>4</v>
      </c>
      <c r="Z6" s="12">
        <v>3</v>
      </c>
      <c r="AA6" s="12">
        <v>4</v>
      </c>
      <c r="AB6" s="13">
        <f t="shared" si="1"/>
        <v>63</v>
      </c>
      <c r="AC6" s="14"/>
    </row>
    <row r="7" ht="116" customHeight="1" spans="1:29">
      <c r="A7" s="15"/>
      <c r="B7" s="10" t="s">
        <v>142</v>
      </c>
      <c r="C7" s="11" t="s">
        <v>143</v>
      </c>
      <c r="D7" s="12">
        <v>5</v>
      </c>
      <c r="E7" s="12">
        <v>5</v>
      </c>
      <c r="F7" s="12">
        <v>5</v>
      </c>
      <c r="G7" s="12">
        <v>5</v>
      </c>
      <c r="H7" s="12">
        <v>5</v>
      </c>
      <c r="I7" s="12">
        <v>5</v>
      </c>
      <c r="J7" s="12">
        <v>5</v>
      </c>
      <c r="K7" s="13">
        <f t="shared" si="0"/>
        <v>35</v>
      </c>
      <c r="L7" s="12">
        <v>5</v>
      </c>
      <c r="M7" s="12">
        <v>5</v>
      </c>
      <c r="N7" s="12">
        <v>3</v>
      </c>
      <c r="O7" s="12">
        <v>4</v>
      </c>
      <c r="P7" s="12">
        <v>2</v>
      </c>
      <c r="Q7" s="12">
        <v>4</v>
      </c>
      <c r="R7" s="12">
        <v>4</v>
      </c>
      <c r="S7" s="12">
        <v>3</v>
      </c>
      <c r="T7" s="12">
        <v>5</v>
      </c>
      <c r="U7" s="12">
        <v>5</v>
      </c>
      <c r="V7" s="12">
        <v>5</v>
      </c>
      <c r="W7" s="12">
        <v>4</v>
      </c>
      <c r="X7" s="12">
        <v>1</v>
      </c>
      <c r="Y7" s="12">
        <v>3</v>
      </c>
      <c r="Z7" s="12">
        <v>3</v>
      </c>
      <c r="AA7" s="12">
        <v>3</v>
      </c>
      <c r="AB7" s="13">
        <f t="shared" si="1"/>
        <v>59</v>
      </c>
      <c r="AC7" s="14"/>
    </row>
    <row r="8" ht="96" customHeight="1" spans="1:29">
      <c r="A8" s="15"/>
      <c r="B8" s="10" t="s">
        <v>144</v>
      </c>
      <c r="C8" s="11" t="s">
        <v>145</v>
      </c>
      <c r="D8" s="12">
        <v>5</v>
      </c>
      <c r="E8" s="12">
        <v>5</v>
      </c>
      <c r="F8" s="12">
        <v>5</v>
      </c>
      <c r="G8" s="12">
        <v>5</v>
      </c>
      <c r="H8" s="12">
        <v>5</v>
      </c>
      <c r="I8" s="12">
        <v>5</v>
      </c>
      <c r="J8" s="12">
        <v>5</v>
      </c>
      <c r="K8" s="13">
        <f t="shared" si="0"/>
        <v>35</v>
      </c>
      <c r="L8" s="12">
        <v>5</v>
      </c>
      <c r="M8" s="12">
        <v>5</v>
      </c>
      <c r="N8" s="12">
        <v>3</v>
      </c>
      <c r="O8" s="12">
        <v>4</v>
      </c>
      <c r="P8" s="12">
        <v>2</v>
      </c>
      <c r="Q8" s="12">
        <v>4</v>
      </c>
      <c r="R8" s="12">
        <v>4</v>
      </c>
      <c r="S8" s="12">
        <v>3</v>
      </c>
      <c r="T8" s="12">
        <v>5</v>
      </c>
      <c r="U8" s="12">
        <v>5</v>
      </c>
      <c r="V8" s="12">
        <v>5</v>
      </c>
      <c r="W8" s="12">
        <v>4</v>
      </c>
      <c r="X8" s="12">
        <v>2</v>
      </c>
      <c r="Y8" s="12">
        <v>4</v>
      </c>
      <c r="Z8" s="12">
        <v>3</v>
      </c>
      <c r="AA8" s="12">
        <v>4</v>
      </c>
      <c r="AB8" s="13">
        <f t="shared" si="1"/>
        <v>62</v>
      </c>
      <c r="AC8" s="14"/>
    </row>
    <row r="9" ht="118" customHeight="1" spans="1:29">
      <c r="A9" s="15"/>
      <c r="B9" s="10" t="s">
        <v>146</v>
      </c>
      <c r="C9" s="11" t="s">
        <v>147</v>
      </c>
      <c r="D9" s="12">
        <v>5</v>
      </c>
      <c r="E9" s="12">
        <v>5</v>
      </c>
      <c r="F9" s="12">
        <v>4</v>
      </c>
      <c r="G9" s="12">
        <v>5</v>
      </c>
      <c r="H9" s="12">
        <v>5</v>
      </c>
      <c r="I9" s="12">
        <v>5</v>
      </c>
      <c r="J9" s="12">
        <v>5</v>
      </c>
      <c r="K9" s="13">
        <f t="shared" si="0"/>
        <v>34</v>
      </c>
      <c r="L9" s="12">
        <v>5</v>
      </c>
      <c r="M9" s="12">
        <v>4</v>
      </c>
      <c r="N9" s="12">
        <v>2</v>
      </c>
      <c r="O9" s="12">
        <v>5</v>
      </c>
      <c r="P9" s="12">
        <v>1</v>
      </c>
      <c r="Q9" s="12">
        <v>4</v>
      </c>
      <c r="R9" s="12">
        <v>4</v>
      </c>
      <c r="S9" s="12">
        <v>5</v>
      </c>
      <c r="T9" s="12">
        <v>5</v>
      </c>
      <c r="U9" s="12">
        <v>5</v>
      </c>
      <c r="V9" s="12">
        <v>5</v>
      </c>
      <c r="W9" s="12">
        <v>4</v>
      </c>
      <c r="X9" s="12">
        <v>1</v>
      </c>
      <c r="Y9" s="12">
        <v>4</v>
      </c>
      <c r="Z9" s="12">
        <v>3</v>
      </c>
      <c r="AA9" s="12">
        <v>4</v>
      </c>
      <c r="AB9" s="13">
        <f t="shared" si="1"/>
        <v>61</v>
      </c>
      <c r="AC9" s="14"/>
    </row>
    <row r="10" ht="81" spans="1:29">
      <c r="A10" s="15"/>
      <c r="B10" s="10" t="s">
        <v>235</v>
      </c>
      <c r="C10" s="11" t="s">
        <v>236</v>
      </c>
      <c r="D10" s="16">
        <v>5</v>
      </c>
      <c r="E10" s="16">
        <v>5</v>
      </c>
      <c r="F10" s="16">
        <v>5</v>
      </c>
      <c r="G10" s="16">
        <v>5</v>
      </c>
      <c r="H10" s="16">
        <v>5</v>
      </c>
      <c r="I10" s="16">
        <v>5</v>
      </c>
      <c r="J10" s="16">
        <v>5</v>
      </c>
      <c r="K10" s="13">
        <f t="shared" si="0"/>
        <v>35</v>
      </c>
      <c r="L10" s="16">
        <v>5</v>
      </c>
      <c r="M10" s="16">
        <v>5</v>
      </c>
      <c r="N10" s="16">
        <v>3</v>
      </c>
      <c r="O10" s="16">
        <v>4</v>
      </c>
      <c r="P10" s="16">
        <v>1</v>
      </c>
      <c r="Q10" s="16">
        <v>4</v>
      </c>
      <c r="R10" s="16">
        <v>4</v>
      </c>
      <c r="S10" s="16">
        <v>3</v>
      </c>
      <c r="T10" s="16">
        <v>5</v>
      </c>
      <c r="U10" s="16">
        <v>5</v>
      </c>
      <c r="V10" s="16">
        <v>5</v>
      </c>
      <c r="W10" s="16">
        <v>4</v>
      </c>
      <c r="X10" s="16">
        <v>1</v>
      </c>
      <c r="Y10" s="16">
        <v>3</v>
      </c>
      <c r="Z10" s="16">
        <v>3</v>
      </c>
      <c r="AA10" s="16">
        <v>3</v>
      </c>
      <c r="AB10" s="13">
        <f t="shared" si="1"/>
        <v>58</v>
      </c>
      <c r="AC10" s="14"/>
    </row>
    <row r="11" ht="101" customHeight="1" spans="1:29">
      <c r="A11" s="15"/>
      <c r="B11" s="10" t="s">
        <v>237</v>
      </c>
      <c r="C11" s="11" t="s">
        <v>238</v>
      </c>
      <c r="D11" s="16">
        <v>5</v>
      </c>
      <c r="E11" s="16">
        <v>5</v>
      </c>
      <c r="F11" s="16">
        <v>5</v>
      </c>
      <c r="G11" s="16">
        <v>5</v>
      </c>
      <c r="H11" s="16">
        <v>5</v>
      </c>
      <c r="I11" s="16">
        <v>5</v>
      </c>
      <c r="J11" s="16">
        <v>5</v>
      </c>
      <c r="K11" s="13">
        <f t="shared" si="0"/>
        <v>35</v>
      </c>
      <c r="L11" s="16">
        <v>5</v>
      </c>
      <c r="M11" s="16">
        <v>5</v>
      </c>
      <c r="N11" s="16">
        <v>3</v>
      </c>
      <c r="O11" s="16">
        <v>4</v>
      </c>
      <c r="P11" s="16">
        <v>1</v>
      </c>
      <c r="Q11" s="16">
        <v>4</v>
      </c>
      <c r="R11" s="16">
        <v>4</v>
      </c>
      <c r="S11" s="16">
        <v>3</v>
      </c>
      <c r="T11" s="16">
        <v>5</v>
      </c>
      <c r="U11" s="16">
        <v>5</v>
      </c>
      <c r="V11" s="16">
        <v>5</v>
      </c>
      <c r="W11" s="16">
        <v>4</v>
      </c>
      <c r="X11" s="16">
        <v>1</v>
      </c>
      <c r="Y11" s="16">
        <v>3</v>
      </c>
      <c r="Z11" s="16">
        <v>3</v>
      </c>
      <c r="AA11" s="16">
        <v>3</v>
      </c>
      <c r="AB11" s="13">
        <f t="shared" si="1"/>
        <v>58</v>
      </c>
      <c r="AC11" s="14"/>
    </row>
    <row r="12" ht="108" spans="1:29">
      <c r="A12" s="15"/>
      <c r="B12" s="10" t="s">
        <v>239</v>
      </c>
      <c r="C12" s="11" t="s">
        <v>240</v>
      </c>
      <c r="D12" s="16">
        <v>5</v>
      </c>
      <c r="E12" s="16">
        <v>5</v>
      </c>
      <c r="F12" s="16">
        <v>5</v>
      </c>
      <c r="G12" s="16">
        <v>5</v>
      </c>
      <c r="H12" s="16">
        <v>5</v>
      </c>
      <c r="I12" s="16">
        <v>5</v>
      </c>
      <c r="J12" s="16">
        <v>5</v>
      </c>
      <c r="K12" s="13">
        <f t="shared" si="0"/>
        <v>35</v>
      </c>
      <c r="L12" s="16">
        <v>5</v>
      </c>
      <c r="M12" s="16">
        <v>5</v>
      </c>
      <c r="N12" s="16">
        <v>3</v>
      </c>
      <c r="O12" s="16">
        <v>4</v>
      </c>
      <c r="P12" s="16">
        <v>1</v>
      </c>
      <c r="Q12" s="16">
        <v>4</v>
      </c>
      <c r="R12" s="16">
        <v>4</v>
      </c>
      <c r="S12" s="16">
        <v>3</v>
      </c>
      <c r="T12" s="16">
        <v>5</v>
      </c>
      <c r="U12" s="16">
        <v>5</v>
      </c>
      <c r="V12" s="16">
        <v>5</v>
      </c>
      <c r="W12" s="16">
        <v>4</v>
      </c>
      <c r="X12" s="16">
        <v>1</v>
      </c>
      <c r="Y12" s="16">
        <v>3</v>
      </c>
      <c r="Z12" s="16">
        <v>3</v>
      </c>
      <c r="AA12" s="16">
        <v>3</v>
      </c>
      <c r="AB12" s="13">
        <f t="shared" si="1"/>
        <v>58</v>
      </c>
      <c r="AC12" s="14"/>
    </row>
    <row r="13" spans="1:29">
      <c r="D13">
        <f>AVERAGE(D3:D12)</f>
        <v>5</v>
      </c>
      <c r="E13">
        <f t="shared" ref="E13:AB13" si="2">AVERAGE(E3:E12)</f>
        <v>5</v>
      </c>
      <c r="F13">
        <f t="shared" si="2"/>
        <v>4.9</v>
      </c>
      <c r="G13">
        <f t="shared" si="2"/>
        <v>5</v>
      </c>
      <c r="H13">
        <f t="shared" si="2"/>
        <v>5</v>
      </c>
      <c r="I13">
        <f t="shared" si="2"/>
        <v>5</v>
      </c>
      <c r="J13">
        <f t="shared" si="2"/>
        <v>5</v>
      </c>
      <c r="K13">
        <f t="shared" si="2"/>
        <v>34.9</v>
      </c>
      <c r="L13">
        <f t="shared" si="2"/>
        <v>5</v>
      </c>
      <c r="M13">
        <f t="shared" si="2"/>
        <v>4.8</v>
      </c>
      <c r="N13">
        <f t="shared" si="2"/>
        <v>2.9</v>
      </c>
      <c r="O13">
        <f t="shared" si="2"/>
        <v>4.3</v>
      </c>
      <c r="P13">
        <f t="shared" si="2"/>
        <v>1.5</v>
      </c>
      <c r="Q13">
        <f t="shared" si="2"/>
        <v>4</v>
      </c>
      <c r="R13">
        <f t="shared" si="2"/>
        <v>4</v>
      </c>
      <c r="S13">
        <f t="shared" si="2"/>
        <v>3.6</v>
      </c>
      <c r="T13">
        <f t="shared" si="2"/>
        <v>5</v>
      </c>
      <c r="U13">
        <f t="shared" si="2"/>
        <v>5</v>
      </c>
      <c r="V13">
        <f t="shared" si="2"/>
        <v>5</v>
      </c>
      <c r="W13">
        <f t="shared" si="2"/>
        <v>3.8</v>
      </c>
      <c r="X13">
        <f t="shared" si="2"/>
        <v>1.2</v>
      </c>
      <c r="Y13">
        <f t="shared" si="2"/>
        <v>3.5</v>
      </c>
      <c r="Z13">
        <f t="shared" si="2"/>
        <v>3</v>
      </c>
      <c r="AA13">
        <f t="shared" si="2"/>
        <v>3.5</v>
      </c>
      <c r="AB13">
        <f t="shared" si="2"/>
        <v>60.1</v>
      </c>
    </row>
    <row r="15" ht="135" spans="1:29">
      <c r="A15" s="17" t="s">
        <v>292</v>
      </c>
      <c r="B15" s="18" t="s">
        <v>212</v>
      </c>
      <c r="C15" s="11" t="s">
        <v>213</v>
      </c>
      <c r="D15" s="12">
        <v>5</v>
      </c>
      <c r="E15" s="12">
        <v>5</v>
      </c>
      <c r="F15" s="12">
        <v>4</v>
      </c>
      <c r="G15" s="12">
        <v>5</v>
      </c>
      <c r="H15" s="12">
        <v>5</v>
      </c>
      <c r="I15" s="12">
        <v>5</v>
      </c>
      <c r="J15" s="12">
        <v>5</v>
      </c>
      <c r="K15" s="13">
        <f t="shared" ref="K15:K31" si="3">SUM(D15:J15)</f>
        <v>34</v>
      </c>
      <c r="L15" s="12">
        <v>5</v>
      </c>
      <c r="M15" s="12">
        <v>5</v>
      </c>
      <c r="N15" s="12">
        <v>2</v>
      </c>
      <c r="O15" s="12">
        <v>5</v>
      </c>
      <c r="P15" s="12">
        <v>2</v>
      </c>
      <c r="Q15" s="12">
        <v>5</v>
      </c>
      <c r="R15" s="12">
        <v>4</v>
      </c>
      <c r="S15" s="12">
        <v>5</v>
      </c>
      <c r="T15" s="12">
        <v>5</v>
      </c>
      <c r="U15" s="12">
        <v>5</v>
      </c>
      <c r="V15" s="12">
        <v>5</v>
      </c>
      <c r="W15" s="12">
        <v>4</v>
      </c>
      <c r="X15" s="12">
        <v>2</v>
      </c>
      <c r="Y15" s="12">
        <v>4</v>
      </c>
      <c r="Z15" s="12">
        <v>3</v>
      </c>
      <c r="AA15" s="12">
        <v>5</v>
      </c>
      <c r="AB15" s="13">
        <f t="shared" ref="AB15:AB31" si="4">SUM(L15:AA15)</f>
        <v>66</v>
      </c>
      <c r="AC15" s="14"/>
    </row>
    <row r="16" ht="121.5" spans="1:29">
      <c r="A16" s="17"/>
      <c r="B16" s="18" t="s">
        <v>214</v>
      </c>
      <c r="C16" s="11" t="s">
        <v>215</v>
      </c>
      <c r="D16" s="12">
        <v>5</v>
      </c>
      <c r="E16" s="12">
        <v>5</v>
      </c>
      <c r="F16" s="12">
        <v>5</v>
      </c>
      <c r="G16" s="12">
        <v>5</v>
      </c>
      <c r="H16" s="12">
        <v>5</v>
      </c>
      <c r="I16" s="12">
        <v>5</v>
      </c>
      <c r="J16" s="12">
        <v>5</v>
      </c>
      <c r="K16" s="13">
        <f t="shared" si="3"/>
        <v>35</v>
      </c>
      <c r="L16" s="12">
        <v>5</v>
      </c>
      <c r="M16" s="12">
        <v>5</v>
      </c>
      <c r="N16" s="12">
        <v>2</v>
      </c>
      <c r="O16" s="12">
        <v>5</v>
      </c>
      <c r="P16" s="12">
        <v>2</v>
      </c>
      <c r="Q16" s="12">
        <v>5</v>
      </c>
      <c r="R16" s="12">
        <v>4</v>
      </c>
      <c r="S16" s="12">
        <v>5</v>
      </c>
      <c r="T16" s="12">
        <v>5</v>
      </c>
      <c r="U16" s="12">
        <v>5</v>
      </c>
      <c r="V16" s="12">
        <v>5</v>
      </c>
      <c r="W16" s="12">
        <v>4</v>
      </c>
      <c r="X16" s="12">
        <v>2</v>
      </c>
      <c r="Y16" s="12">
        <v>4</v>
      </c>
      <c r="Z16" s="12">
        <v>3</v>
      </c>
      <c r="AA16" s="12">
        <v>5</v>
      </c>
      <c r="AB16" s="13">
        <f t="shared" si="4"/>
        <v>66</v>
      </c>
      <c r="AC16" s="14"/>
    </row>
    <row r="17" ht="121.5" spans="1:29">
      <c r="A17" s="17"/>
      <c r="B17" s="18" t="s">
        <v>216</v>
      </c>
      <c r="C17" s="11" t="s">
        <v>217</v>
      </c>
      <c r="D17" s="12">
        <v>5</v>
      </c>
      <c r="E17" s="12">
        <v>5</v>
      </c>
      <c r="F17" s="12">
        <v>5</v>
      </c>
      <c r="G17" s="12">
        <v>5</v>
      </c>
      <c r="H17" s="12">
        <v>5</v>
      </c>
      <c r="I17" s="12">
        <v>5</v>
      </c>
      <c r="J17" s="12">
        <v>5</v>
      </c>
      <c r="K17" s="13">
        <f t="shared" si="3"/>
        <v>35</v>
      </c>
      <c r="L17" s="12">
        <v>5</v>
      </c>
      <c r="M17" s="12">
        <v>5</v>
      </c>
      <c r="N17" s="12">
        <v>2</v>
      </c>
      <c r="O17" s="12">
        <v>5</v>
      </c>
      <c r="P17" s="12">
        <v>2</v>
      </c>
      <c r="Q17" s="12">
        <v>5</v>
      </c>
      <c r="R17" s="12">
        <v>4</v>
      </c>
      <c r="S17" s="12">
        <v>3</v>
      </c>
      <c r="T17" s="12">
        <v>5</v>
      </c>
      <c r="U17" s="12">
        <v>5</v>
      </c>
      <c r="V17" s="12">
        <v>5</v>
      </c>
      <c r="W17" s="12">
        <v>4</v>
      </c>
      <c r="X17" s="12">
        <v>2</v>
      </c>
      <c r="Y17" s="12">
        <v>3</v>
      </c>
      <c r="Z17" s="12">
        <v>3</v>
      </c>
      <c r="AA17" s="12">
        <v>5</v>
      </c>
      <c r="AB17" s="13">
        <f t="shared" si="4"/>
        <v>63</v>
      </c>
      <c r="AC17" s="14"/>
    </row>
    <row r="18" ht="108" spans="1:29">
      <c r="A18" s="17"/>
      <c r="B18" s="18" t="s">
        <v>263</v>
      </c>
      <c r="C18" s="11" t="s">
        <v>264</v>
      </c>
      <c r="D18" s="16">
        <v>5</v>
      </c>
      <c r="E18" s="16">
        <v>5</v>
      </c>
      <c r="F18" s="16">
        <v>5</v>
      </c>
      <c r="G18" s="16">
        <v>5</v>
      </c>
      <c r="H18" s="16">
        <v>5</v>
      </c>
      <c r="I18" s="16">
        <v>5</v>
      </c>
      <c r="J18" s="16">
        <v>5</v>
      </c>
      <c r="K18" s="13">
        <f t="shared" si="3"/>
        <v>35</v>
      </c>
      <c r="L18" s="16">
        <v>5</v>
      </c>
      <c r="M18" s="16">
        <v>5</v>
      </c>
      <c r="N18" s="16">
        <v>3</v>
      </c>
      <c r="O18" s="16">
        <v>5</v>
      </c>
      <c r="P18" s="16">
        <v>3</v>
      </c>
      <c r="Q18" s="16">
        <v>4</v>
      </c>
      <c r="R18" s="16">
        <v>4</v>
      </c>
      <c r="S18" s="16">
        <v>5</v>
      </c>
      <c r="T18" s="16">
        <v>5</v>
      </c>
      <c r="U18" s="16">
        <v>5</v>
      </c>
      <c r="V18" s="16">
        <v>5</v>
      </c>
      <c r="W18" s="16">
        <v>4</v>
      </c>
      <c r="X18" s="16">
        <v>3</v>
      </c>
      <c r="Y18" s="16">
        <v>4</v>
      </c>
      <c r="Z18" s="16">
        <v>3</v>
      </c>
      <c r="AA18" s="16">
        <v>4</v>
      </c>
      <c r="AB18" s="13">
        <f t="shared" si="4"/>
        <v>67</v>
      </c>
      <c r="AC18" s="14"/>
    </row>
    <row r="19" ht="135" spans="1:29">
      <c r="A19" s="17"/>
      <c r="B19" s="18" t="s">
        <v>265</v>
      </c>
      <c r="C19" s="11" t="s">
        <v>266</v>
      </c>
      <c r="D19" s="16">
        <v>5</v>
      </c>
      <c r="E19" s="16">
        <v>5</v>
      </c>
      <c r="F19" s="16">
        <v>5</v>
      </c>
      <c r="G19" s="16">
        <v>5</v>
      </c>
      <c r="H19" s="16">
        <v>5</v>
      </c>
      <c r="I19" s="16">
        <v>5</v>
      </c>
      <c r="J19" s="16">
        <v>5</v>
      </c>
      <c r="K19" s="13">
        <f t="shared" si="3"/>
        <v>35</v>
      </c>
      <c r="L19" s="16">
        <v>5</v>
      </c>
      <c r="M19" s="16">
        <v>5</v>
      </c>
      <c r="N19" s="16">
        <v>3</v>
      </c>
      <c r="O19" s="16">
        <v>5</v>
      </c>
      <c r="P19" s="16">
        <v>3</v>
      </c>
      <c r="Q19" s="16">
        <v>4</v>
      </c>
      <c r="R19" s="16">
        <v>4</v>
      </c>
      <c r="S19" s="16">
        <v>5</v>
      </c>
      <c r="T19" s="16">
        <v>5</v>
      </c>
      <c r="U19" s="16">
        <v>5</v>
      </c>
      <c r="V19" s="16">
        <v>5</v>
      </c>
      <c r="W19" s="16">
        <v>4</v>
      </c>
      <c r="X19" s="16">
        <v>3</v>
      </c>
      <c r="Y19" s="16">
        <v>4</v>
      </c>
      <c r="Z19" s="16">
        <v>3</v>
      </c>
      <c r="AA19" s="16">
        <v>4</v>
      </c>
      <c r="AB19" s="13">
        <f t="shared" si="4"/>
        <v>67</v>
      </c>
      <c r="AC19" s="14"/>
    </row>
    <row r="20" ht="108" spans="1:29">
      <c r="A20" s="17"/>
      <c r="B20" s="18" t="s">
        <v>267</v>
      </c>
      <c r="C20" s="11" t="s">
        <v>268</v>
      </c>
      <c r="D20" s="16">
        <v>5</v>
      </c>
      <c r="E20" s="16">
        <v>5</v>
      </c>
      <c r="F20" s="16">
        <v>5</v>
      </c>
      <c r="G20" s="16">
        <v>5</v>
      </c>
      <c r="H20" s="16">
        <v>5</v>
      </c>
      <c r="I20" s="16">
        <v>5</v>
      </c>
      <c r="J20" s="16">
        <v>5</v>
      </c>
      <c r="K20" s="13">
        <f t="shared" si="3"/>
        <v>35</v>
      </c>
      <c r="L20" s="16">
        <v>5</v>
      </c>
      <c r="M20" s="16">
        <v>5</v>
      </c>
      <c r="N20" s="16">
        <v>3</v>
      </c>
      <c r="O20" s="16">
        <v>5</v>
      </c>
      <c r="P20" s="16">
        <v>3</v>
      </c>
      <c r="Q20" s="16">
        <v>4</v>
      </c>
      <c r="R20" s="16">
        <v>4</v>
      </c>
      <c r="S20" s="16">
        <v>5</v>
      </c>
      <c r="T20" s="16">
        <v>5</v>
      </c>
      <c r="U20" s="16">
        <v>5</v>
      </c>
      <c r="V20" s="16">
        <v>5</v>
      </c>
      <c r="W20" s="16">
        <v>4</v>
      </c>
      <c r="X20" s="16">
        <v>3</v>
      </c>
      <c r="Y20" s="16">
        <v>4</v>
      </c>
      <c r="Z20" s="16">
        <v>3</v>
      </c>
      <c r="AA20" s="16">
        <v>4</v>
      </c>
      <c r="AB20" s="13">
        <f t="shared" si="4"/>
        <v>67</v>
      </c>
      <c r="AC20" s="14"/>
    </row>
    <row r="21" ht="108" spans="1:29">
      <c r="A21" s="19"/>
      <c r="B21" s="18" t="s">
        <v>219</v>
      </c>
      <c r="C21" s="11" t="s">
        <v>220</v>
      </c>
      <c r="D21" s="12">
        <v>5</v>
      </c>
      <c r="E21" s="12">
        <v>5</v>
      </c>
      <c r="F21" s="12">
        <v>4</v>
      </c>
      <c r="G21" s="12">
        <v>5</v>
      </c>
      <c r="H21" s="12">
        <v>5</v>
      </c>
      <c r="I21" s="12">
        <v>5</v>
      </c>
      <c r="J21" s="12">
        <v>5</v>
      </c>
      <c r="K21" s="13">
        <f t="shared" si="3"/>
        <v>34</v>
      </c>
      <c r="L21" s="12">
        <v>5</v>
      </c>
      <c r="M21" s="12">
        <v>5</v>
      </c>
      <c r="N21" s="12">
        <v>4</v>
      </c>
      <c r="O21" s="12">
        <v>5</v>
      </c>
      <c r="P21" s="12">
        <v>2</v>
      </c>
      <c r="Q21" s="12">
        <v>4</v>
      </c>
      <c r="R21" s="12">
        <v>4</v>
      </c>
      <c r="S21" s="12">
        <v>1</v>
      </c>
      <c r="T21" s="12">
        <v>5</v>
      </c>
      <c r="U21" s="12">
        <v>5</v>
      </c>
      <c r="V21" s="12">
        <v>5</v>
      </c>
      <c r="W21" s="12">
        <v>4</v>
      </c>
      <c r="X21" s="12">
        <v>2</v>
      </c>
      <c r="Y21" s="12">
        <v>3</v>
      </c>
      <c r="Z21" s="12">
        <v>3</v>
      </c>
      <c r="AA21" s="12">
        <v>3</v>
      </c>
      <c r="AB21" s="13">
        <f t="shared" si="4"/>
        <v>60</v>
      </c>
      <c r="AC21" s="14"/>
    </row>
    <row r="22" customFormat="1" ht="195" customHeight="1" spans="1:29">
      <c r="A22" s="20"/>
      <c r="B22" s="18" t="s">
        <v>221</v>
      </c>
      <c r="C22" s="11" t="s">
        <v>222</v>
      </c>
      <c r="D22" s="12">
        <v>5</v>
      </c>
      <c r="E22" s="12">
        <v>5</v>
      </c>
      <c r="F22" s="12">
        <v>5</v>
      </c>
      <c r="G22" s="12">
        <v>5</v>
      </c>
      <c r="H22" s="12">
        <v>5</v>
      </c>
      <c r="I22" s="12">
        <v>5</v>
      </c>
      <c r="J22" s="12">
        <v>5</v>
      </c>
      <c r="K22" s="13">
        <f t="shared" si="3"/>
        <v>35</v>
      </c>
      <c r="L22" s="12">
        <v>5</v>
      </c>
      <c r="M22" s="12">
        <v>5</v>
      </c>
      <c r="N22" s="12">
        <v>2</v>
      </c>
      <c r="O22" s="12">
        <v>5</v>
      </c>
      <c r="P22" s="12">
        <v>2</v>
      </c>
      <c r="Q22" s="12">
        <v>4</v>
      </c>
      <c r="R22" s="12">
        <v>4</v>
      </c>
      <c r="S22" s="12">
        <v>3</v>
      </c>
      <c r="T22" s="12">
        <v>5</v>
      </c>
      <c r="U22" s="12">
        <v>5</v>
      </c>
      <c r="V22" s="12">
        <v>5</v>
      </c>
      <c r="W22" s="12">
        <v>4</v>
      </c>
      <c r="X22" s="12">
        <v>2</v>
      </c>
      <c r="Y22" s="12">
        <v>4</v>
      </c>
      <c r="Z22" s="12">
        <v>3</v>
      </c>
      <c r="AA22" s="12">
        <v>3</v>
      </c>
      <c r="AB22" s="13">
        <f t="shared" si="4"/>
        <v>61</v>
      </c>
      <c r="AC22" s="14"/>
    </row>
    <row r="23" customFormat="1" ht="223" customHeight="1" spans="1:29">
      <c r="A23" s="20"/>
      <c r="B23" s="18" t="s">
        <v>223</v>
      </c>
      <c r="C23" s="11" t="s">
        <v>224</v>
      </c>
      <c r="D23" s="12">
        <v>5</v>
      </c>
      <c r="E23" s="12">
        <v>5</v>
      </c>
      <c r="F23" s="12">
        <v>5</v>
      </c>
      <c r="G23" s="12">
        <v>5</v>
      </c>
      <c r="H23" s="12">
        <v>5</v>
      </c>
      <c r="I23" s="12">
        <v>5</v>
      </c>
      <c r="J23" s="12">
        <v>5</v>
      </c>
      <c r="K23" s="13">
        <f t="shared" si="3"/>
        <v>35</v>
      </c>
      <c r="L23" s="12">
        <v>5</v>
      </c>
      <c r="M23" s="12">
        <v>5</v>
      </c>
      <c r="N23" s="12">
        <v>2</v>
      </c>
      <c r="O23" s="12">
        <v>5</v>
      </c>
      <c r="P23" s="12">
        <v>4</v>
      </c>
      <c r="Q23" s="12">
        <v>4</v>
      </c>
      <c r="R23" s="12">
        <v>4</v>
      </c>
      <c r="S23" s="12">
        <v>3</v>
      </c>
      <c r="T23" s="12">
        <v>5</v>
      </c>
      <c r="U23" s="12">
        <v>3</v>
      </c>
      <c r="V23" s="12">
        <v>5</v>
      </c>
      <c r="W23" s="12">
        <v>4</v>
      </c>
      <c r="X23" s="12">
        <v>3</v>
      </c>
      <c r="Y23" s="12">
        <v>4</v>
      </c>
      <c r="Z23" s="12">
        <v>3</v>
      </c>
      <c r="AA23" s="12">
        <v>3</v>
      </c>
      <c r="AB23" s="13">
        <f t="shared" si="4"/>
        <v>62</v>
      </c>
      <c r="AC23" s="14"/>
    </row>
    <row r="24" customFormat="1" ht="178" customHeight="1" spans="1:29">
      <c r="A24" s="20"/>
      <c r="B24" s="18" t="s">
        <v>225</v>
      </c>
      <c r="C24" s="11" t="s">
        <v>226</v>
      </c>
      <c r="D24" s="12">
        <v>5</v>
      </c>
      <c r="E24" s="12">
        <v>5</v>
      </c>
      <c r="F24" s="12">
        <v>5</v>
      </c>
      <c r="G24" s="12">
        <v>5</v>
      </c>
      <c r="H24" s="12">
        <v>5</v>
      </c>
      <c r="I24" s="12">
        <v>5</v>
      </c>
      <c r="J24" s="12">
        <v>5</v>
      </c>
      <c r="K24" s="13">
        <f t="shared" si="3"/>
        <v>35</v>
      </c>
      <c r="L24" s="12">
        <v>4</v>
      </c>
      <c r="M24" s="12">
        <v>4</v>
      </c>
      <c r="N24" s="12">
        <v>3</v>
      </c>
      <c r="O24" s="12">
        <v>4</v>
      </c>
      <c r="P24" s="12">
        <v>3</v>
      </c>
      <c r="Q24" s="12">
        <v>4</v>
      </c>
      <c r="R24" s="12">
        <v>4</v>
      </c>
      <c r="S24" s="12">
        <v>5</v>
      </c>
      <c r="T24" s="12">
        <v>5</v>
      </c>
      <c r="U24" s="12">
        <v>5</v>
      </c>
      <c r="V24" s="12">
        <v>5</v>
      </c>
      <c r="W24" s="12">
        <v>4</v>
      </c>
      <c r="X24" s="12">
        <v>3</v>
      </c>
      <c r="Y24" s="12">
        <v>4</v>
      </c>
      <c r="Z24" s="12">
        <v>3</v>
      </c>
      <c r="AA24" s="12">
        <v>4</v>
      </c>
      <c r="AB24" s="13">
        <f t="shared" si="4"/>
        <v>64</v>
      </c>
      <c r="AC24" s="14"/>
    </row>
    <row r="25" customFormat="1" ht="161" customHeight="1" spans="1:29">
      <c r="A25" s="20"/>
      <c r="B25" s="18" t="s">
        <v>227</v>
      </c>
      <c r="C25" s="11" t="s">
        <v>228</v>
      </c>
      <c r="D25" s="12">
        <v>5</v>
      </c>
      <c r="E25" s="12">
        <v>5</v>
      </c>
      <c r="F25" s="12">
        <v>5</v>
      </c>
      <c r="G25" s="12">
        <v>5</v>
      </c>
      <c r="H25" s="12">
        <v>5</v>
      </c>
      <c r="I25" s="12">
        <v>5</v>
      </c>
      <c r="J25" s="12">
        <v>5</v>
      </c>
      <c r="K25" s="13">
        <f t="shared" si="3"/>
        <v>35</v>
      </c>
      <c r="L25" s="12">
        <v>5</v>
      </c>
      <c r="M25" s="12">
        <v>5</v>
      </c>
      <c r="N25" s="12">
        <v>3</v>
      </c>
      <c r="O25" s="12">
        <v>5</v>
      </c>
      <c r="P25" s="12">
        <v>4</v>
      </c>
      <c r="Q25" s="12">
        <v>4</v>
      </c>
      <c r="R25" s="12">
        <v>5</v>
      </c>
      <c r="S25" s="12">
        <v>5</v>
      </c>
      <c r="T25" s="12">
        <v>4</v>
      </c>
      <c r="U25" s="12">
        <v>5</v>
      </c>
      <c r="V25" s="12">
        <v>5</v>
      </c>
      <c r="W25" s="12">
        <v>5</v>
      </c>
      <c r="X25" s="12">
        <v>4</v>
      </c>
      <c r="Y25" s="12">
        <v>4</v>
      </c>
      <c r="Z25" s="12">
        <v>3</v>
      </c>
      <c r="AA25" s="12">
        <v>4</v>
      </c>
      <c r="AB25" s="13">
        <f t="shared" si="4"/>
        <v>70</v>
      </c>
      <c r="AC25" s="14"/>
    </row>
    <row r="26" customFormat="1" ht="167" customHeight="1" spans="1:29">
      <c r="A26" s="20"/>
      <c r="B26" s="18" t="s">
        <v>229</v>
      </c>
      <c r="C26" s="11" t="s">
        <v>230</v>
      </c>
      <c r="D26" s="12">
        <v>5</v>
      </c>
      <c r="E26" s="12">
        <v>5</v>
      </c>
      <c r="F26" s="12">
        <v>5</v>
      </c>
      <c r="G26" s="12">
        <v>5</v>
      </c>
      <c r="H26" s="12">
        <v>5</v>
      </c>
      <c r="I26" s="12">
        <v>5</v>
      </c>
      <c r="J26" s="12">
        <v>5</v>
      </c>
      <c r="K26" s="13">
        <f t="shared" si="3"/>
        <v>35</v>
      </c>
      <c r="L26" s="12">
        <v>5</v>
      </c>
      <c r="M26" s="12">
        <v>5</v>
      </c>
      <c r="N26" s="12">
        <v>3</v>
      </c>
      <c r="O26" s="12">
        <v>5</v>
      </c>
      <c r="P26" s="12">
        <v>4</v>
      </c>
      <c r="Q26" s="12">
        <v>4</v>
      </c>
      <c r="R26" s="12">
        <v>5</v>
      </c>
      <c r="S26" s="12">
        <v>5</v>
      </c>
      <c r="T26" s="12">
        <v>5</v>
      </c>
      <c r="U26" s="12">
        <v>5</v>
      </c>
      <c r="V26" s="12">
        <v>5</v>
      </c>
      <c r="W26" s="12">
        <v>5</v>
      </c>
      <c r="X26" s="12">
        <v>3</v>
      </c>
      <c r="Y26" s="12">
        <v>4</v>
      </c>
      <c r="Z26" s="12">
        <v>3</v>
      </c>
      <c r="AA26" s="12">
        <v>4</v>
      </c>
      <c r="AB26" s="13">
        <f t="shared" si="4"/>
        <v>70</v>
      </c>
      <c r="AC26" s="14"/>
    </row>
    <row r="27" customFormat="1" ht="234" customHeight="1" spans="1:29">
      <c r="A27" s="20"/>
      <c r="B27" s="18" t="s">
        <v>231</v>
      </c>
      <c r="C27" s="11" t="s">
        <v>232</v>
      </c>
      <c r="D27" s="12">
        <v>5</v>
      </c>
      <c r="E27" s="12">
        <v>5</v>
      </c>
      <c r="F27" s="12">
        <v>4</v>
      </c>
      <c r="G27" s="12">
        <v>5</v>
      </c>
      <c r="H27" s="12">
        <v>5</v>
      </c>
      <c r="I27" s="12">
        <v>5</v>
      </c>
      <c r="J27" s="12">
        <v>5</v>
      </c>
      <c r="K27" s="13">
        <f t="shared" si="3"/>
        <v>34</v>
      </c>
      <c r="L27" s="12">
        <v>5</v>
      </c>
      <c r="M27" s="12">
        <v>5</v>
      </c>
      <c r="N27" s="12">
        <v>2</v>
      </c>
      <c r="O27" s="12">
        <v>5</v>
      </c>
      <c r="P27" s="12">
        <v>2</v>
      </c>
      <c r="Q27" s="12">
        <v>4</v>
      </c>
      <c r="R27" s="12">
        <v>4</v>
      </c>
      <c r="S27" s="12">
        <v>1</v>
      </c>
      <c r="T27" s="12">
        <v>5</v>
      </c>
      <c r="U27" s="12">
        <v>5</v>
      </c>
      <c r="V27" s="12">
        <v>4</v>
      </c>
      <c r="W27" s="12">
        <v>4</v>
      </c>
      <c r="X27" s="12">
        <v>2</v>
      </c>
      <c r="Y27" s="12">
        <v>4</v>
      </c>
      <c r="Z27" s="12">
        <v>3</v>
      </c>
      <c r="AA27" s="12">
        <v>3</v>
      </c>
      <c r="AB27" s="13">
        <f t="shared" si="4"/>
        <v>58</v>
      </c>
      <c r="AC27" s="14"/>
    </row>
    <row r="28" customFormat="1" ht="153" customHeight="1" spans="1:29">
      <c r="A28" s="20"/>
      <c r="B28" s="18" t="s">
        <v>233</v>
      </c>
      <c r="C28" s="11" t="s">
        <v>234</v>
      </c>
      <c r="D28" s="12">
        <v>5</v>
      </c>
      <c r="E28" s="12">
        <v>5</v>
      </c>
      <c r="F28" s="12">
        <v>4</v>
      </c>
      <c r="G28" s="12">
        <v>5</v>
      </c>
      <c r="H28" s="12">
        <v>5</v>
      </c>
      <c r="I28" s="12">
        <v>5</v>
      </c>
      <c r="J28" s="12">
        <v>5</v>
      </c>
      <c r="K28" s="13">
        <f t="shared" si="3"/>
        <v>34</v>
      </c>
      <c r="L28" s="12">
        <v>5</v>
      </c>
      <c r="M28" s="12">
        <v>5</v>
      </c>
      <c r="N28" s="12">
        <v>2</v>
      </c>
      <c r="O28" s="12">
        <v>4</v>
      </c>
      <c r="P28" s="12">
        <v>2</v>
      </c>
      <c r="Q28" s="12">
        <v>4</v>
      </c>
      <c r="R28" s="12">
        <v>4</v>
      </c>
      <c r="S28" s="12">
        <v>5</v>
      </c>
      <c r="T28" s="12">
        <v>5</v>
      </c>
      <c r="U28" s="12">
        <v>5</v>
      </c>
      <c r="V28" s="12">
        <v>5</v>
      </c>
      <c r="W28" s="12">
        <v>4</v>
      </c>
      <c r="X28" s="12">
        <v>3</v>
      </c>
      <c r="Y28" s="12">
        <v>4</v>
      </c>
      <c r="Z28" s="12">
        <v>3</v>
      </c>
      <c r="AA28" s="12">
        <v>4</v>
      </c>
      <c r="AB28" s="13">
        <f t="shared" si="4"/>
        <v>64</v>
      </c>
      <c r="AC28" s="14"/>
    </row>
    <row r="29" customFormat="1" ht="121.5" spans="1:29">
      <c r="A29" s="20"/>
      <c r="B29" s="18" t="s">
        <v>269</v>
      </c>
      <c r="C29" s="11" t="s">
        <v>270</v>
      </c>
      <c r="D29" s="16">
        <v>5</v>
      </c>
      <c r="E29" s="16">
        <v>5</v>
      </c>
      <c r="F29" s="16">
        <v>5</v>
      </c>
      <c r="G29" s="16">
        <v>5</v>
      </c>
      <c r="H29" s="16">
        <v>5</v>
      </c>
      <c r="I29" s="16">
        <v>5</v>
      </c>
      <c r="J29" s="16">
        <v>5</v>
      </c>
      <c r="K29" s="13">
        <f t="shared" si="3"/>
        <v>35</v>
      </c>
      <c r="L29" s="16">
        <v>5</v>
      </c>
      <c r="M29" s="16">
        <v>5</v>
      </c>
      <c r="N29" s="16">
        <v>4</v>
      </c>
      <c r="O29" s="16">
        <v>5</v>
      </c>
      <c r="P29" s="16">
        <v>2</v>
      </c>
      <c r="Q29" s="16">
        <v>4</v>
      </c>
      <c r="R29" s="16">
        <v>4</v>
      </c>
      <c r="S29" s="16">
        <v>1</v>
      </c>
      <c r="T29" s="16">
        <v>5</v>
      </c>
      <c r="U29" s="16">
        <v>5</v>
      </c>
      <c r="V29" s="16">
        <v>5</v>
      </c>
      <c r="W29" s="16">
        <v>4</v>
      </c>
      <c r="X29" s="16">
        <v>2</v>
      </c>
      <c r="Y29" s="16">
        <v>4</v>
      </c>
      <c r="Z29" s="16">
        <v>3</v>
      </c>
      <c r="AA29" s="16">
        <v>3</v>
      </c>
      <c r="AB29" s="13">
        <f t="shared" si="4"/>
        <v>61</v>
      </c>
      <c r="AC29" s="14"/>
    </row>
    <row r="30" ht="135" spans="1:29">
      <c r="A30" s="20"/>
      <c r="B30" s="18" t="s">
        <v>271</v>
      </c>
      <c r="C30" s="11" t="s">
        <v>272</v>
      </c>
      <c r="D30" s="16">
        <v>5</v>
      </c>
      <c r="E30" s="16">
        <v>5</v>
      </c>
      <c r="F30" s="16">
        <v>5</v>
      </c>
      <c r="G30" s="16">
        <v>5</v>
      </c>
      <c r="H30" s="16">
        <v>5</v>
      </c>
      <c r="I30" s="16">
        <v>5</v>
      </c>
      <c r="J30" s="16">
        <v>5</v>
      </c>
      <c r="K30" s="13">
        <f t="shared" si="3"/>
        <v>35</v>
      </c>
      <c r="L30" s="16">
        <v>5</v>
      </c>
      <c r="M30" s="16">
        <v>5</v>
      </c>
      <c r="N30" s="16">
        <v>4</v>
      </c>
      <c r="O30" s="16">
        <v>5</v>
      </c>
      <c r="P30" s="16">
        <v>2</v>
      </c>
      <c r="Q30" s="16">
        <v>4</v>
      </c>
      <c r="R30" s="16">
        <v>4</v>
      </c>
      <c r="S30" s="16">
        <v>1</v>
      </c>
      <c r="T30" s="16">
        <v>5</v>
      </c>
      <c r="U30" s="16">
        <v>5</v>
      </c>
      <c r="V30" s="16">
        <v>5</v>
      </c>
      <c r="W30" s="16">
        <v>4</v>
      </c>
      <c r="X30" s="16">
        <v>2</v>
      </c>
      <c r="Y30" s="16">
        <v>4</v>
      </c>
      <c r="Z30" s="16">
        <v>3</v>
      </c>
      <c r="AA30" s="16">
        <v>3</v>
      </c>
      <c r="AB30" s="13">
        <f t="shared" si="4"/>
        <v>61</v>
      </c>
      <c r="AC30" s="14"/>
    </row>
    <row r="31" customFormat="1" ht="108" spans="1:29">
      <c r="A31" s="20"/>
      <c r="B31" s="18" t="s">
        <v>273</v>
      </c>
      <c r="C31" s="11" t="s">
        <v>274</v>
      </c>
      <c r="D31" s="16">
        <v>5</v>
      </c>
      <c r="E31" s="16">
        <v>5</v>
      </c>
      <c r="F31" s="16">
        <v>5</v>
      </c>
      <c r="G31" s="16">
        <v>5</v>
      </c>
      <c r="H31" s="16">
        <v>5</v>
      </c>
      <c r="I31" s="16">
        <v>5</v>
      </c>
      <c r="J31" s="16">
        <v>5</v>
      </c>
      <c r="K31" s="13">
        <f t="shared" si="3"/>
        <v>35</v>
      </c>
      <c r="L31" s="16">
        <v>5</v>
      </c>
      <c r="M31" s="16">
        <v>5</v>
      </c>
      <c r="N31" s="16">
        <v>4</v>
      </c>
      <c r="O31" s="16">
        <v>5</v>
      </c>
      <c r="P31" s="16">
        <v>2</v>
      </c>
      <c r="Q31" s="16">
        <v>4</v>
      </c>
      <c r="R31" s="16">
        <v>4</v>
      </c>
      <c r="S31" s="16">
        <v>1</v>
      </c>
      <c r="T31" s="16">
        <v>5</v>
      </c>
      <c r="U31" s="16">
        <v>5</v>
      </c>
      <c r="V31" s="16">
        <v>5</v>
      </c>
      <c r="W31" s="16">
        <v>4</v>
      </c>
      <c r="X31" s="16">
        <v>2</v>
      </c>
      <c r="Y31" s="16">
        <v>4</v>
      </c>
      <c r="Z31" s="16">
        <v>3</v>
      </c>
      <c r="AA31" s="16">
        <v>3</v>
      </c>
      <c r="AB31" s="13">
        <f t="shared" si="4"/>
        <v>61</v>
      </c>
      <c r="AC31" s="14"/>
    </row>
    <row r="32" spans="1:29">
      <c r="D32">
        <f>AVERAGE(D15:D31)</f>
        <v>5</v>
      </c>
      <c r="E32">
        <f t="shared" ref="E32:AB32" si="5">AVERAGE(E15:E31)</f>
        <v>5</v>
      </c>
      <c r="F32">
        <f t="shared" si="5"/>
        <v>4.76470588235294</v>
      </c>
      <c r="G32">
        <f t="shared" si="5"/>
        <v>5</v>
      </c>
      <c r="H32">
        <f t="shared" si="5"/>
        <v>5</v>
      </c>
      <c r="I32">
        <f t="shared" si="5"/>
        <v>5</v>
      </c>
      <c r="J32">
        <f t="shared" si="5"/>
        <v>5</v>
      </c>
      <c r="K32">
        <f t="shared" si="5"/>
        <v>34.7647058823529</v>
      </c>
      <c r="L32">
        <f t="shared" si="5"/>
        <v>4.94117647058824</v>
      </c>
      <c r="M32">
        <f t="shared" si="5"/>
        <v>4.94117647058824</v>
      </c>
      <c r="N32">
        <f t="shared" si="5"/>
        <v>2.82352941176471</v>
      </c>
      <c r="O32">
        <f t="shared" si="5"/>
        <v>4.88235294117647</v>
      </c>
      <c r="P32">
        <f t="shared" si="5"/>
        <v>2.58823529411765</v>
      </c>
      <c r="Q32">
        <f t="shared" si="5"/>
        <v>4.17647058823529</v>
      </c>
      <c r="R32">
        <f t="shared" si="5"/>
        <v>4.11764705882353</v>
      </c>
      <c r="S32">
        <f t="shared" si="5"/>
        <v>3.47058823529412</v>
      </c>
      <c r="T32">
        <f t="shared" si="5"/>
        <v>4.94117647058824</v>
      </c>
      <c r="U32">
        <f t="shared" si="5"/>
        <v>4.88235294117647</v>
      </c>
      <c r="V32">
        <f t="shared" si="5"/>
        <v>4.94117647058824</v>
      </c>
      <c r="W32">
        <f t="shared" si="5"/>
        <v>4.11764705882353</v>
      </c>
      <c r="X32">
        <f t="shared" si="5"/>
        <v>2.52941176470588</v>
      </c>
      <c r="Y32">
        <f t="shared" si="5"/>
        <v>3.88235294117647</v>
      </c>
      <c r="Z32">
        <f t="shared" si="5"/>
        <v>3</v>
      </c>
      <c r="AA32">
        <f t="shared" si="5"/>
        <v>3.76470588235294</v>
      </c>
      <c r="AB32">
        <f t="shared" si="5"/>
        <v>64</v>
      </c>
    </row>
    <row r="34" ht="135" spans="1:29">
      <c r="A34" s="15" t="s">
        <v>293</v>
      </c>
      <c r="B34" s="10" t="s">
        <v>148</v>
      </c>
      <c r="C34" s="11" t="s">
        <v>149</v>
      </c>
      <c r="D34" s="12">
        <v>5</v>
      </c>
      <c r="E34" s="12">
        <v>5</v>
      </c>
      <c r="F34" s="12">
        <v>5</v>
      </c>
      <c r="G34" s="12">
        <v>5</v>
      </c>
      <c r="H34" s="12">
        <v>5</v>
      </c>
      <c r="I34" s="12">
        <v>5</v>
      </c>
      <c r="J34" s="12">
        <v>5</v>
      </c>
      <c r="K34" s="13">
        <f t="shared" ref="K34:K58" si="6">SUM(D34:J34)</f>
        <v>35</v>
      </c>
      <c r="L34" s="12">
        <v>5</v>
      </c>
      <c r="M34" s="12">
        <v>5</v>
      </c>
      <c r="N34" s="12">
        <v>3</v>
      </c>
      <c r="O34" s="12">
        <v>5</v>
      </c>
      <c r="P34" s="12">
        <v>2</v>
      </c>
      <c r="Q34" s="12">
        <v>4</v>
      </c>
      <c r="R34" s="12">
        <v>4</v>
      </c>
      <c r="S34" s="12">
        <v>5</v>
      </c>
      <c r="T34" s="12">
        <v>5</v>
      </c>
      <c r="U34" s="12">
        <v>5</v>
      </c>
      <c r="V34" s="12">
        <v>5</v>
      </c>
      <c r="W34" s="12">
        <v>4</v>
      </c>
      <c r="X34" s="12">
        <v>3</v>
      </c>
      <c r="Y34" s="12">
        <v>4</v>
      </c>
      <c r="Z34" s="12">
        <v>3</v>
      </c>
      <c r="AA34" s="12">
        <v>4</v>
      </c>
      <c r="AB34" s="13">
        <f t="shared" ref="AB34:AB58" si="7">SUM(L34:AA34)</f>
        <v>66</v>
      </c>
      <c r="AC34" s="14"/>
    </row>
    <row r="35" ht="189" spans="1:29">
      <c r="A35" s="15"/>
      <c r="B35" s="10" t="s">
        <v>150</v>
      </c>
      <c r="C35" s="11" t="s">
        <v>151</v>
      </c>
      <c r="D35" s="12">
        <v>5</v>
      </c>
      <c r="E35" s="12">
        <v>5</v>
      </c>
      <c r="F35" s="12">
        <v>5</v>
      </c>
      <c r="G35" s="12">
        <v>5</v>
      </c>
      <c r="H35" s="12">
        <v>5</v>
      </c>
      <c r="I35" s="12">
        <v>5</v>
      </c>
      <c r="J35" s="12">
        <v>5</v>
      </c>
      <c r="K35" s="13">
        <f t="shared" si="6"/>
        <v>35</v>
      </c>
      <c r="L35" s="12">
        <v>5</v>
      </c>
      <c r="M35" s="12">
        <v>5</v>
      </c>
      <c r="N35" s="12">
        <v>3</v>
      </c>
      <c r="O35" s="12">
        <v>5</v>
      </c>
      <c r="P35" s="12">
        <v>3</v>
      </c>
      <c r="Q35" s="12">
        <v>4</v>
      </c>
      <c r="R35" s="12">
        <v>5</v>
      </c>
      <c r="S35" s="12">
        <v>5</v>
      </c>
      <c r="T35" s="12">
        <v>5</v>
      </c>
      <c r="U35" s="12">
        <v>5</v>
      </c>
      <c r="V35" s="12">
        <v>5</v>
      </c>
      <c r="W35" s="12">
        <v>5</v>
      </c>
      <c r="X35" s="12">
        <v>3</v>
      </c>
      <c r="Y35" s="12">
        <v>4</v>
      </c>
      <c r="Z35" s="12">
        <v>3</v>
      </c>
      <c r="AA35" s="12">
        <v>4</v>
      </c>
      <c r="AB35" s="13">
        <f t="shared" si="7"/>
        <v>69</v>
      </c>
      <c r="AC35" s="14"/>
    </row>
    <row r="36" ht="135" spans="1:29">
      <c r="A36" s="15"/>
      <c r="B36" s="10" t="s">
        <v>152</v>
      </c>
      <c r="C36" s="11" t="s">
        <v>153</v>
      </c>
      <c r="D36" s="12">
        <v>5</v>
      </c>
      <c r="E36" s="12">
        <v>5</v>
      </c>
      <c r="F36" s="12">
        <v>5</v>
      </c>
      <c r="G36" s="12">
        <v>5</v>
      </c>
      <c r="H36" s="12">
        <v>5</v>
      </c>
      <c r="I36" s="12">
        <v>5</v>
      </c>
      <c r="J36" s="12">
        <v>5</v>
      </c>
      <c r="K36" s="13">
        <f t="shared" si="6"/>
        <v>35</v>
      </c>
      <c r="L36" s="12">
        <v>5</v>
      </c>
      <c r="M36" s="12">
        <v>5</v>
      </c>
      <c r="N36" s="12">
        <v>3</v>
      </c>
      <c r="O36" s="12">
        <v>5</v>
      </c>
      <c r="P36" s="12">
        <v>4</v>
      </c>
      <c r="Q36" s="12">
        <v>3</v>
      </c>
      <c r="R36" s="12">
        <v>5</v>
      </c>
      <c r="S36" s="12">
        <v>5</v>
      </c>
      <c r="T36" s="12">
        <v>5</v>
      </c>
      <c r="U36" s="12">
        <v>5</v>
      </c>
      <c r="V36" s="12">
        <v>5</v>
      </c>
      <c r="W36" s="12">
        <v>5</v>
      </c>
      <c r="X36" s="12">
        <v>3</v>
      </c>
      <c r="Y36" s="12">
        <v>4</v>
      </c>
      <c r="Z36" s="12">
        <v>3</v>
      </c>
      <c r="AA36" s="12">
        <v>4</v>
      </c>
      <c r="AB36" s="13">
        <f t="shared" si="7"/>
        <v>69</v>
      </c>
      <c r="AC36" s="14"/>
    </row>
    <row r="37" ht="162" spans="1:29">
      <c r="A37" s="15"/>
      <c r="B37" s="10" t="s">
        <v>154</v>
      </c>
      <c r="C37" s="11" t="s">
        <v>155</v>
      </c>
      <c r="D37" s="12">
        <v>5</v>
      </c>
      <c r="E37" s="12">
        <v>5</v>
      </c>
      <c r="F37" s="12">
        <v>5</v>
      </c>
      <c r="G37" s="12">
        <v>5</v>
      </c>
      <c r="H37" s="12">
        <v>5</v>
      </c>
      <c r="I37" s="12">
        <v>5</v>
      </c>
      <c r="J37" s="12">
        <v>5</v>
      </c>
      <c r="K37" s="13">
        <f t="shared" si="6"/>
        <v>35</v>
      </c>
      <c r="L37" s="12">
        <v>5</v>
      </c>
      <c r="M37" s="12">
        <v>5</v>
      </c>
      <c r="N37" s="12">
        <v>3</v>
      </c>
      <c r="O37" s="12">
        <v>5</v>
      </c>
      <c r="P37" s="12">
        <v>3</v>
      </c>
      <c r="Q37" s="12">
        <v>4</v>
      </c>
      <c r="R37" s="12">
        <v>5</v>
      </c>
      <c r="S37" s="12">
        <v>5</v>
      </c>
      <c r="T37" s="12">
        <v>5</v>
      </c>
      <c r="U37" s="12">
        <v>5</v>
      </c>
      <c r="V37" s="12">
        <v>5</v>
      </c>
      <c r="W37" s="12">
        <v>5</v>
      </c>
      <c r="X37" s="12">
        <v>3</v>
      </c>
      <c r="Y37" s="12">
        <v>4</v>
      </c>
      <c r="Z37" s="12">
        <v>3</v>
      </c>
      <c r="AA37" s="12">
        <v>4</v>
      </c>
      <c r="AB37" s="13">
        <f t="shared" si="7"/>
        <v>69</v>
      </c>
      <c r="AC37" s="14"/>
    </row>
    <row r="38" ht="135" spans="1:29">
      <c r="A38" s="15"/>
      <c r="B38" s="10" t="s">
        <v>156</v>
      </c>
      <c r="C38" s="11" t="s">
        <v>157</v>
      </c>
      <c r="D38" s="12">
        <v>5</v>
      </c>
      <c r="E38" s="12">
        <v>5</v>
      </c>
      <c r="F38" s="12">
        <v>5</v>
      </c>
      <c r="G38" s="12">
        <v>5</v>
      </c>
      <c r="H38" s="12">
        <v>5</v>
      </c>
      <c r="I38" s="12">
        <v>5</v>
      </c>
      <c r="J38" s="12">
        <v>5</v>
      </c>
      <c r="K38" s="13">
        <f t="shared" si="6"/>
        <v>35</v>
      </c>
      <c r="L38" s="12">
        <v>5</v>
      </c>
      <c r="M38" s="12">
        <v>5</v>
      </c>
      <c r="N38" s="12">
        <v>3</v>
      </c>
      <c r="O38" s="12">
        <v>5</v>
      </c>
      <c r="P38" s="12">
        <v>4</v>
      </c>
      <c r="Q38" s="12">
        <v>4</v>
      </c>
      <c r="R38" s="12">
        <v>5</v>
      </c>
      <c r="S38" s="12">
        <v>5</v>
      </c>
      <c r="T38" s="12">
        <v>5</v>
      </c>
      <c r="U38" s="12">
        <v>5</v>
      </c>
      <c r="V38" s="12">
        <v>5</v>
      </c>
      <c r="W38" s="12">
        <v>5</v>
      </c>
      <c r="X38" s="12">
        <v>3</v>
      </c>
      <c r="Y38" s="12">
        <v>4</v>
      </c>
      <c r="Z38" s="12">
        <v>3</v>
      </c>
      <c r="AA38" s="12">
        <v>4</v>
      </c>
      <c r="AB38" s="13">
        <f t="shared" si="7"/>
        <v>70</v>
      </c>
      <c r="AC38" s="14"/>
    </row>
    <row r="39" ht="162" spans="1:29">
      <c r="A39" s="15"/>
      <c r="B39" s="10" t="s">
        <v>158</v>
      </c>
      <c r="C39" s="11" t="s">
        <v>159</v>
      </c>
      <c r="D39" s="12">
        <v>5</v>
      </c>
      <c r="E39" s="12">
        <v>5</v>
      </c>
      <c r="F39" s="12">
        <v>3</v>
      </c>
      <c r="G39" s="12">
        <v>5</v>
      </c>
      <c r="H39" s="12">
        <v>5</v>
      </c>
      <c r="I39" s="12">
        <v>5</v>
      </c>
      <c r="J39" s="12">
        <v>5</v>
      </c>
      <c r="K39" s="13">
        <f t="shared" si="6"/>
        <v>33</v>
      </c>
      <c r="L39" s="12">
        <v>5</v>
      </c>
      <c r="M39" s="12">
        <v>5</v>
      </c>
      <c r="N39" s="12">
        <v>2</v>
      </c>
      <c r="O39" s="12">
        <v>5</v>
      </c>
      <c r="P39" s="12">
        <v>5</v>
      </c>
      <c r="Q39" s="12">
        <v>5</v>
      </c>
      <c r="R39" s="12">
        <v>4</v>
      </c>
      <c r="S39" s="12">
        <v>5</v>
      </c>
      <c r="T39" s="12">
        <v>5</v>
      </c>
      <c r="U39" s="12">
        <v>5</v>
      </c>
      <c r="V39" s="12">
        <v>4</v>
      </c>
      <c r="W39" s="12">
        <v>4</v>
      </c>
      <c r="X39" s="12">
        <v>4</v>
      </c>
      <c r="Y39" s="12">
        <v>4</v>
      </c>
      <c r="Z39" s="12">
        <v>3</v>
      </c>
      <c r="AA39" s="12">
        <v>4</v>
      </c>
      <c r="AB39" s="13">
        <f t="shared" si="7"/>
        <v>69</v>
      </c>
      <c r="AC39" s="14"/>
    </row>
    <row r="40" ht="148.5" spans="1:29">
      <c r="A40" s="15"/>
      <c r="B40" s="10" t="s">
        <v>160</v>
      </c>
      <c r="C40" s="11" t="s">
        <v>161</v>
      </c>
      <c r="D40" s="12">
        <v>5</v>
      </c>
      <c r="E40" s="12">
        <v>5</v>
      </c>
      <c r="F40" s="12">
        <v>5</v>
      </c>
      <c r="G40" s="12">
        <v>5</v>
      </c>
      <c r="H40" s="12">
        <v>5</v>
      </c>
      <c r="I40" s="12">
        <v>5</v>
      </c>
      <c r="J40" s="12">
        <v>5</v>
      </c>
      <c r="K40" s="13">
        <f t="shared" si="6"/>
        <v>35</v>
      </c>
      <c r="L40" s="12">
        <v>5</v>
      </c>
      <c r="M40" s="12">
        <v>5</v>
      </c>
      <c r="N40" s="12">
        <v>3</v>
      </c>
      <c r="O40" s="12">
        <v>5</v>
      </c>
      <c r="P40" s="12">
        <v>4</v>
      </c>
      <c r="Q40" s="12">
        <v>4</v>
      </c>
      <c r="R40" s="12">
        <v>4</v>
      </c>
      <c r="S40" s="12">
        <v>5</v>
      </c>
      <c r="T40" s="12">
        <v>5</v>
      </c>
      <c r="U40" s="12">
        <v>5</v>
      </c>
      <c r="V40" s="12">
        <v>5</v>
      </c>
      <c r="W40" s="12">
        <v>4</v>
      </c>
      <c r="X40" s="12">
        <v>4</v>
      </c>
      <c r="Y40" s="12">
        <v>4</v>
      </c>
      <c r="Z40" s="12">
        <v>3</v>
      </c>
      <c r="AA40" s="12">
        <v>4</v>
      </c>
      <c r="AB40" s="13">
        <f t="shared" si="7"/>
        <v>69</v>
      </c>
      <c r="AC40" s="14"/>
    </row>
    <row r="41" ht="148.5" spans="1:29">
      <c r="A41" s="15"/>
      <c r="B41" s="10" t="s">
        <v>162</v>
      </c>
      <c r="C41" s="11" t="s">
        <v>163</v>
      </c>
      <c r="D41" s="12">
        <v>5</v>
      </c>
      <c r="E41" s="12">
        <v>5</v>
      </c>
      <c r="F41" s="12">
        <v>4</v>
      </c>
      <c r="G41" s="12">
        <v>5</v>
      </c>
      <c r="H41" s="12">
        <v>5</v>
      </c>
      <c r="I41" s="12">
        <v>5</v>
      </c>
      <c r="J41" s="12">
        <v>5</v>
      </c>
      <c r="K41" s="13">
        <f t="shared" si="6"/>
        <v>34</v>
      </c>
      <c r="L41" s="12">
        <v>5</v>
      </c>
      <c r="M41" s="12">
        <v>5</v>
      </c>
      <c r="N41" s="12">
        <v>3</v>
      </c>
      <c r="O41" s="12">
        <v>5</v>
      </c>
      <c r="P41" s="12">
        <v>3</v>
      </c>
      <c r="Q41" s="12">
        <v>4</v>
      </c>
      <c r="R41" s="12">
        <v>4</v>
      </c>
      <c r="S41" s="12">
        <v>5</v>
      </c>
      <c r="T41" s="12">
        <v>5</v>
      </c>
      <c r="U41" s="12">
        <v>5</v>
      </c>
      <c r="V41" s="12">
        <v>5</v>
      </c>
      <c r="W41" s="12">
        <v>5</v>
      </c>
      <c r="X41" s="12">
        <v>3</v>
      </c>
      <c r="Y41" s="12">
        <v>4</v>
      </c>
      <c r="Z41" s="12">
        <v>3</v>
      </c>
      <c r="AA41" s="12">
        <v>4</v>
      </c>
      <c r="AB41" s="13">
        <f t="shared" si="7"/>
        <v>68</v>
      </c>
      <c r="AC41" s="14"/>
    </row>
    <row r="42" ht="162" spans="1:29">
      <c r="A42" s="15"/>
      <c r="B42" s="10" t="s">
        <v>164</v>
      </c>
      <c r="C42" s="11" t="s">
        <v>165</v>
      </c>
      <c r="D42" s="12">
        <v>5</v>
      </c>
      <c r="E42" s="12">
        <v>5</v>
      </c>
      <c r="F42" s="12">
        <v>5</v>
      </c>
      <c r="G42" s="12">
        <v>5</v>
      </c>
      <c r="H42" s="12">
        <v>5</v>
      </c>
      <c r="I42" s="12">
        <v>5</v>
      </c>
      <c r="J42" s="12">
        <v>5</v>
      </c>
      <c r="K42" s="13">
        <f t="shared" si="6"/>
        <v>35</v>
      </c>
      <c r="L42" s="12">
        <v>5</v>
      </c>
      <c r="M42" s="12">
        <v>5</v>
      </c>
      <c r="N42" s="12">
        <v>2</v>
      </c>
      <c r="O42" s="12">
        <v>5</v>
      </c>
      <c r="P42" s="12">
        <v>3</v>
      </c>
      <c r="Q42" s="12">
        <v>4</v>
      </c>
      <c r="R42" s="12">
        <v>5</v>
      </c>
      <c r="S42" s="12">
        <v>5</v>
      </c>
      <c r="T42" s="12">
        <v>5</v>
      </c>
      <c r="U42" s="12">
        <v>5</v>
      </c>
      <c r="V42" s="12">
        <v>5</v>
      </c>
      <c r="W42" s="12">
        <v>5</v>
      </c>
      <c r="X42" s="12">
        <v>3</v>
      </c>
      <c r="Y42" s="12">
        <v>4</v>
      </c>
      <c r="Z42" s="12">
        <v>3</v>
      </c>
      <c r="AA42" s="12">
        <v>4</v>
      </c>
      <c r="AB42" s="13">
        <f t="shared" si="7"/>
        <v>68</v>
      </c>
      <c r="AC42" s="14"/>
    </row>
    <row r="43" ht="202.5" spans="1:29">
      <c r="A43" s="15"/>
      <c r="B43" s="10" t="s">
        <v>166</v>
      </c>
      <c r="C43" s="11" t="s">
        <v>167</v>
      </c>
      <c r="D43" s="12">
        <v>5</v>
      </c>
      <c r="E43" s="12">
        <v>5</v>
      </c>
      <c r="F43" s="12">
        <v>4</v>
      </c>
      <c r="G43" s="12">
        <v>5</v>
      </c>
      <c r="H43" s="12">
        <v>5</v>
      </c>
      <c r="I43" s="12">
        <v>5</v>
      </c>
      <c r="J43" s="12">
        <v>5</v>
      </c>
      <c r="K43" s="13">
        <f t="shared" si="6"/>
        <v>34</v>
      </c>
      <c r="L43" s="12">
        <v>5</v>
      </c>
      <c r="M43" s="12">
        <v>5</v>
      </c>
      <c r="N43" s="12">
        <v>3</v>
      </c>
      <c r="O43" s="12">
        <v>5</v>
      </c>
      <c r="P43" s="12">
        <v>4</v>
      </c>
      <c r="Q43" s="12">
        <v>4</v>
      </c>
      <c r="R43" s="12">
        <v>4</v>
      </c>
      <c r="S43" s="12">
        <v>5</v>
      </c>
      <c r="T43" s="12">
        <v>5</v>
      </c>
      <c r="U43" s="12">
        <v>5</v>
      </c>
      <c r="V43" s="12">
        <v>5</v>
      </c>
      <c r="W43" s="12">
        <v>4</v>
      </c>
      <c r="X43" s="12">
        <v>3</v>
      </c>
      <c r="Y43" s="12">
        <v>4</v>
      </c>
      <c r="Z43" s="12">
        <v>3</v>
      </c>
      <c r="AA43" s="12">
        <v>4</v>
      </c>
      <c r="AB43" s="13">
        <f t="shared" si="7"/>
        <v>68</v>
      </c>
      <c r="AC43" s="14"/>
    </row>
    <row r="44" ht="135" spans="1:29">
      <c r="A44" s="15"/>
      <c r="B44" s="10" t="s">
        <v>168</v>
      </c>
      <c r="C44" s="11" t="s">
        <v>169</v>
      </c>
      <c r="D44" s="12">
        <v>5</v>
      </c>
      <c r="E44" s="12">
        <v>5</v>
      </c>
      <c r="F44" s="12">
        <v>4</v>
      </c>
      <c r="G44" s="12">
        <v>5</v>
      </c>
      <c r="H44" s="12">
        <v>5</v>
      </c>
      <c r="I44" s="12">
        <v>5</v>
      </c>
      <c r="J44" s="12">
        <v>5</v>
      </c>
      <c r="K44" s="13">
        <f t="shared" si="6"/>
        <v>34</v>
      </c>
      <c r="L44" s="12">
        <v>5</v>
      </c>
      <c r="M44" s="12">
        <v>4</v>
      </c>
      <c r="N44" s="12">
        <v>3</v>
      </c>
      <c r="O44" s="12">
        <v>4</v>
      </c>
      <c r="P44" s="12">
        <v>1</v>
      </c>
      <c r="Q44" s="12">
        <v>4</v>
      </c>
      <c r="R44" s="12">
        <v>4</v>
      </c>
      <c r="S44" s="12">
        <v>5</v>
      </c>
      <c r="T44" s="12">
        <v>5</v>
      </c>
      <c r="U44" s="12">
        <v>5</v>
      </c>
      <c r="V44" s="12">
        <v>5</v>
      </c>
      <c r="W44" s="12">
        <v>4</v>
      </c>
      <c r="X44" s="12">
        <v>2</v>
      </c>
      <c r="Y44" s="12">
        <v>4</v>
      </c>
      <c r="Z44" s="12">
        <v>3</v>
      </c>
      <c r="AA44" s="12">
        <v>4</v>
      </c>
      <c r="AB44" s="13">
        <f t="shared" si="7"/>
        <v>62</v>
      </c>
      <c r="AC44" s="14"/>
    </row>
    <row r="45" ht="135" spans="1:29">
      <c r="A45" s="15"/>
      <c r="B45" s="10" t="s">
        <v>170</v>
      </c>
      <c r="C45" s="11" t="s">
        <v>171</v>
      </c>
      <c r="D45" s="12">
        <v>5</v>
      </c>
      <c r="E45" s="12">
        <v>5</v>
      </c>
      <c r="F45" s="12">
        <v>4</v>
      </c>
      <c r="G45" s="12">
        <v>5</v>
      </c>
      <c r="H45" s="12">
        <v>5</v>
      </c>
      <c r="I45" s="12">
        <v>5</v>
      </c>
      <c r="J45" s="12">
        <v>5</v>
      </c>
      <c r="K45" s="13">
        <f t="shared" si="6"/>
        <v>34</v>
      </c>
      <c r="L45" s="12">
        <v>5</v>
      </c>
      <c r="M45" s="12">
        <v>4</v>
      </c>
      <c r="N45" s="12">
        <v>3</v>
      </c>
      <c r="O45" s="12">
        <v>4</v>
      </c>
      <c r="P45" s="12">
        <v>2</v>
      </c>
      <c r="Q45" s="12">
        <v>4</v>
      </c>
      <c r="R45" s="12">
        <v>4</v>
      </c>
      <c r="S45" s="12">
        <v>5</v>
      </c>
      <c r="T45" s="12">
        <v>5</v>
      </c>
      <c r="U45" s="12">
        <v>5</v>
      </c>
      <c r="V45" s="12">
        <v>5</v>
      </c>
      <c r="W45" s="12">
        <v>4</v>
      </c>
      <c r="X45" s="12">
        <v>2</v>
      </c>
      <c r="Y45" s="12">
        <v>4</v>
      </c>
      <c r="Z45" s="12">
        <v>3</v>
      </c>
      <c r="AA45" s="12">
        <v>4</v>
      </c>
      <c r="AB45" s="13">
        <f t="shared" si="7"/>
        <v>63</v>
      </c>
      <c r="AC45" s="14"/>
    </row>
    <row r="46" ht="208" customHeight="1" spans="1:29">
      <c r="A46" s="15"/>
      <c r="B46" s="10" t="s">
        <v>172</v>
      </c>
      <c r="C46" s="11" t="s">
        <v>173</v>
      </c>
      <c r="D46" s="12">
        <v>5</v>
      </c>
      <c r="E46" s="12">
        <v>5</v>
      </c>
      <c r="F46" s="12">
        <v>5</v>
      </c>
      <c r="G46" s="12">
        <v>5</v>
      </c>
      <c r="H46" s="12">
        <v>5</v>
      </c>
      <c r="I46" s="12">
        <v>5</v>
      </c>
      <c r="J46" s="12">
        <v>5</v>
      </c>
      <c r="K46" s="13">
        <f t="shared" si="6"/>
        <v>35</v>
      </c>
      <c r="L46" s="12">
        <v>5</v>
      </c>
      <c r="M46" s="12">
        <v>5</v>
      </c>
      <c r="N46" s="12">
        <v>3</v>
      </c>
      <c r="O46" s="12">
        <v>5</v>
      </c>
      <c r="P46" s="12">
        <v>4</v>
      </c>
      <c r="Q46" s="12">
        <v>4</v>
      </c>
      <c r="R46" s="12">
        <v>4</v>
      </c>
      <c r="S46" s="12">
        <v>5</v>
      </c>
      <c r="T46" s="12">
        <v>5</v>
      </c>
      <c r="U46" s="12">
        <v>5</v>
      </c>
      <c r="V46" s="12">
        <v>5</v>
      </c>
      <c r="W46" s="12">
        <v>3</v>
      </c>
      <c r="X46" s="12">
        <v>3</v>
      </c>
      <c r="Y46" s="12">
        <v>4</v>
      </c>
      <c r="Z46" s="12">
        <v>3</v>
      </c>
      <c r="AA46" s="12">
        <v>4</v>
      </c>
      <c r="AB46" s="13">
        <f t="shared" si="7"/>
        <v>67</v>
      </c>
      <c r="AC46" s="14"/>
    </row>
    <row r="47" ht="121.5" spans="1:29">
      <c r="A47" s="15"/>
      <c r="B47" s="10" t="s">
        <v>174</v>
      </c>
      <c r="C47" s="11" t="s">
        <v>175</v>
      </c>
      <c r="D47" s="12">
        <v>5</v>
      </c>
      <c r="E47" s="12">
        <v>5</v>
      </c>
      <c r="F47" s="12">
        <v>5</v>
      </c>
      <c r="G47" s="12">
        <v>5</v>
      </c>
      <c r="H47" s="12">
        <v>5</v>
      </c>
      <c r="I47" s="12">
        <v>5</v>
      </c>
      <c r="J47" s="12">
        <v>5</v>
      </c>
      <c r="K47" s="13">
        <f t="shared" si="6"/>
        <v>35</v>
      </c>
      <c r="L47" s="12">
        <v>5</v>
      </c>
      <c r="M47" s="12">
        <v>4</v>
      </c>
      <c r="N47" s="12">
        <v>3</v>
      </c>
      <c r="O47" s="12">
        <v>4</v>
      </c>
      <c r="P47" s="12">
        <v>2</v>
      </c>
      <c r="Q47" s="12">
        <v>3</v>
      </c>
      <c r="R47" s="12">
        <v>4</v>
      </c>
      <c r="S47" s="12">
        <v>5</v>
      </c>
      <c r="T47" s="12">
        <v>5</v>
      </c>
      <c r="U47" s="12">
        <v>4</v>
      </c>
      <c r="V47" s="12">
        <v>5</v>
      </c>
      <c r="W47" s="12">
        <v>3</v>
      </c>
      <c r="X47" s="12">
        <v>2</v>
      </c>
      <c r="Y47" s="12">
        <v>4</v>
      </c>
      <c r="Z47" s="12">
        <v>3</v>
      </c>
      <c r="AA47" s="12">
        <v>4</v>
      </c>
      <c r="AB47" s="13">
        <f t="shared" si="7"/>
        <v>60</v>
      </c>
      <c r="AC47" s="14"/>
    </row>
    <row r="48" ht="121.5" spans="1:29">
      <c r="A48" s="15"/>
      <c r="B48" s="10" t="s">
        <v>176</v>
      </c>
      <c r="C48" s="11" t="s">
        <v>177</v>
      </c>
      <c r="D48" s="12">
        <v>5</v>
      </c>
      <c r="E48" s="12">
        <v>5</v>
      </c>
      <c r="F48" s="12">
        <v>5</v>
      </c>
      <c r="G48" s="12">
        <v>5</v>
      </c>
      <c r="H48" s="12">
        <v>5</v>
      </c>
      <c r="I48" s="12">
        <v>5</v>
      </c>
      <c r="J48" s="12">
        <v>5</v>
      </c>
      <c r="K48" s="13">
        <f t="shared" si="6"/>
        <v>35</v>
      </c>
      <c r="L48" s="12">
        <v>5</v>
      </c>
      <c r="M48" s="12">
        <v>4</v>
      </c>
      <c r="N48" s="12">
        <v>3</v>
      </c>
      <c r="O48" s="12">
        <v>4</v>
      </c>
      <c r="P48" s="12">
        <v>1</v>
      </c>
      <c r="Q48" s="12">
        <v>4</v>
      </c>
      <c r="R48" s="12">
        <v>4</v>
      </c>
      <c r="S48" s="12">
        <v>5</v>
      </c>
      <c r="T48" s="12">
        <v>5</v>
      </c>
      <c r="U48" s="12">
        <v>5</v>
      </c>
      <c r="V48" s="12">
        <v>5</v>
      </c>
      <c r="W48" s="12">
        <v>4</v>
      </c>
      <c r="X48" s="12">
        <v>2</v>
      </c>
      <c r="Y48" s="12">
        <v>4</v>
      </c>
      <c r="Z48" s="12">
        <v>3</v>
      </c>
      <c r="AA48" s="12">
        <v>4</v>
      </c>
      <c r="AB48" s="13">
        <f t="shared" si="7"/>
        <v>62</v>
      </c>
      <c r="AC48" s="14"/>
    </row>
    <row r="49" ht="135.4" spans="1:29">
      <c r="A49" s="15"/>
      <c r="B49" s="10" t="s">
        <v>178</v>
      </c>
      <c r="C49" s="11" t="s">
        <v>179</v>
      </c>
      <c r="D49" s="12">
        <v>5</v>
      </c>
      <c r="E49" s="12">
        <v>5</v>
      </c>
      <c r="F49" s="12">
        <v>5</v>
      </c>
      <c r="G49" s="12">
        <v>5</v>
      </c>
      <c r="H49" s="12">
        <v>5</v>
      </c>
      <c r="I49" s="12">
        <v>5</v>
      </c>
      <c r="J49" s="12">
        <v>5</v>
      </c>
      <c r="K49" s="13">
        <f t="shared" si="6"/>
        <v>35</v>
      </c>
      <c r="L49" s="12">
        <v>5</v>
      </c>
      <c r="M49" s="12">
        <v>5</v>
      </c>
      <c r="N49" s="12">
        <v>3</v>
      </c>
      <c r="O49" s="12">
        <v>5</v>
      </c>
      <c r="P49" s="12">
        <v>3</v>
      </c>
      <c r="Q49" s="12">
        <v>4</v>
      </c>
      <c r="R49" s="12">
        <v>4</v>
      </c>
      <c r="S49" s="12">
        <v>5</v>
      </c>
      <c r="T49" s="12">
        <v>5</v>
      </c>
      <c r="U49" s="12">
        <v>5</v>
      </c>
      <c r="V49" s="12">
        <v>5</v>
      </c>
      <c r="W49" s="12">
        <v>3</v>
      </c>
      <c r="X49" s="12">
        <v>3</v>
      </c>
      <c r="Y49" s="12">
        <v>3</v>
      </c>
      <c r="Z49" s="12">
        <v>3</v>
      </c>
      <c r="AA49" s="12">
        <v>3</v>
      </c>
      <c r="AB49" s="13">
        <f t="shared" si="7"/>
        <v>64</v>
      </c>
      <c r="AC49" s="14"/>
    </row>
    <row r="50" ht="162" spans="1:29">
      <c r="A50" s="15"/>
      <c r="B50" s="10" t="s">
        <v>180</v>
      </c>
      <c r="C50" s="11" t="s">
        <v>181</v>
      </c>
      <c r="D50" s="12">
        <v>5</v>
      </c>
      <c r="E50" s="12">
        <v>5</v>
      </c>
      <c r="F50" s="12">
        <v>5</v>
      </c>
      <c r="G50" s="12">
        <v>5</v>
      </c>
      <c r="H50" s="12">
        <v>5</v>
      </c>
      <c r="I50" s="12">
        <v>5</v>
      </c>
      <c r="J50" s="12">
        <v>5</v>
      </c>
      <c r="K50" s="13">
        <f t="shared" si="6"/>
        <v>35</v>
      </c>
      <c r="L50" s="12">
        <v>5</v>
      </c>
      <c r="M50" s="12">
        <v>5</v>
      </c>
      <c r="N50" s="12">
        <v>3</v>
      </c>
      <c r="O50" s="12">
        <v>5</v>
      </c>
      <c r="P50" s="12">
        <v>4</v>
      </c>
      <c r="Q50" s="12">
        <v>4</v>
      </c>
      <c r="R50" s="12">
        <v>4</v>
      </c>
      <c r="S50" s="12">
        <v>5</v>
      </c>
      <c r="T50" s="12">
        <v>5</v>
      </c>
      <c r="U50" s="12">
        <v>5</v>
      </c>
      <c r="V50" s="12">
        <v>5</v>
      </c>
      <c r="W50" s="12">
        <v>4</v>
      </c>
      <c r="X50" s="12">
        <v>4</v>
      </c>
      <c r="Y50" s="12">
        <v>4</v>
      </c>
      <c r="Z50" s="12">
        <v>3</v>
      </c>
      <c r="AA50" s="12">
        <v>4</v>
      </c>
      <c r="AB50" s="13">
        <f t="shared" si="7"/>
        <v>69</v>
      </c>
      <c r="AC50" s="14"/>
    </row>
    <row r="51" ht="135" spans="1:29">
      <c r="A51" s="15"/>
      <c r="B51" s="10" t="s">
        <v>182</v>
      </c>
      <c r="C51" s="11" t="s">
        <v>183</v>
      </c>
      <c r="D51" s="12">
        <v>5</v>
      </c>
      <c r="E51" s="12">
        <v>5</v>
      </c>
      <c r="F51" s="12">
        <v>5</v>
      </c>
      <c r="G51" s="12">
        <v>5</v>
      </c>
      <c r="H51" s="12">
        <v>5</v>
      </c>
      <c r="I51" s="12">
        <v>5</v>
      </c>
      <c r="J51" s="12">
        <v>5</v>
      </c>
      <c r="K51" s="13">
        <f t="shared" si="6"/>
        <v>35</v>
      </c>
      <c r="L51" s="12">
        <v>5</v>
      </c>
      <c r="M51" s="12">
        <v>4</v>
      </c>
      <c r="N51" s="12">
        <v>3</v>
      </c>
      <c r="O51" s="12">
        <v>4</v>
      </c>
      <c r="P51" s="12">
        <v>1</v>
      </c>
      <c r="Q51" s="12">
        <v>4</v>
      </c>
      <c r="R51" s="12">
        <v>4</v>
      </c>
      <c r="S51" s="12">
        <v>5</v>
      </c>
      <c r="T51" s="12">
        <v>5</v>
      </c>
      <c r="U51" s="12">
        <v>5</v>
      </c>
      <c r="V51" s="12">
        <v>5</v>
      </c>
      <c r="W51" s="12">
        <v>4</v>
      </c>
      <c r="X51" s="12">
        <v>3</v>
      </c>
      <c r="Y51" s="12">
        <v>4</v>
      </c>
      <c r="Z51" s="12">
        <v>3</v>
      </c>
      <c r="AA51" s="12">
        <v>4</v>
      </c>
      <c r="AB51" s="13">
        <f t="shared" si="7"/>
        <v>63</v>
      </c>
      <c r="AC51" s="14"/>
    </row>
    <row r="52" ht="121.5" spans="1:29">
      <c r="A52" s="15"/>
      <c r="B52" s="10" t="s">
        <v>241</v>
      </c>
      <c r="C52" s="11" t="s">
        <v>242</v>
      </c>
      <c r="D52" s="16">
        <v>5</v>
      </c>
      <c r="E52" s="16">
        <v>5</v>
      </c>
      <c r="F52" s="16">
        <v>5</v>
      </c>
      <c r="G52" s="16">
        <v>5</v>
      </c>
      <c r="H52" s="16">
        <v>5</v>
      </c>
      <c r="I52" s="16">
        <v>5</v>
      </c>
      <c r="J52" s="16">
        <v>5</v>
      </c>
      <c r="K52" s="13">
        <f t="shared" si="6"/>
        <v>35</v>
      </c>
      <c r="L52" s="16">
        <v>5</v>
      </c>
      <c r="M52" s="16">
        <v>4</v>
      </c>
      <c r="N52" s="16">
        <v>3</v>
      </c>
      <c r="O52" s="16">
        <v>4</v>
      </c>
      <c r="P52" s="16">
        <v>1</v>
      </c>
      <c r="Q52" s="16">
        <v>4</v>
      </c>
      <c r="R52" s="16">
        <v>4</v>
      </c>
      <c r="S52" s="16">
        <v>5</v>
      </c>
      <c r="T52" s="16">
        <v>5</v>
      </c>
      <c r="U52" s="16">
        <v>5</v>
      </c>
      <c r="V52" s="16">
        <v>5</v>
      </c>
      <c r="W52" s="16">
        <v>3</v>
      </c>
      <c r="X52" s="16">
        <v>2</v>
      </c>
      <c r="Y52" s="16">
        <v>3</v>
      </c>
      <c r="Z52" s="16">
        <v>3</v>
      </c>
      <c r="AA52" s="16">
        <v>4</v>
      </c>
      <c r="AB52" s="13">
        <f t="shared" si="7"/>
        <v>60</v>
      </c>
      <c r="AC52" s="14"/>
    </row>
    <row r="53" ht="121.5" spans="1:29">
      <c r="A53" s="15"/>
      <c r="B53" s="10" t="s">
        <v>243</v>
      </c>
      <c r="C53" s="11" t="s">
        <v>244</v>
      </c>
      <c r="D53" s="16">
        <v>5</v>
      </c>
      <c r="E53" s="16">
        <v>5</v>
      </c>
      <c r="F53" s="16">
        <v>5</v>
      </c>
      <c r="G53" s="16">
        <v>5</v>
      </c>
      <c r="H53" s="16">
        <v>5</v>
      </c>
      <c r="I53" s="16">
        <v>5</v>
      </c>
      <c r="J53" s="16">
        <v>5</v>
      </c>
      <c r="K53" s="13">
        <f t="shared" si="6"/>
        <v>35</v>
      </c>
      <c r="L53" s="16">
        <v>5</v>
      </c>
      <c r="M53" s="16">
        <v>5</v>
      </c>
      <c r="N53" s="16">
        <v>3</v>
      </c>
      <c r="O53" s="16">
        <v>5</v>
      </c>
      <c r="P53" s="16">
        <v>1</v>
      </c>
      <c r="Q53" s="16">
        <v>4</v>
      </c>
      <c r="R53" s="16">
        <v>4</v>
      </c>
      <c r="S53" s="16">
        <v>5</v>
      </c>
      <c r="T53" s="16">
        <v>5</v>
      </c>
      <c r="U53" s="16">
        <v>5</v>
      </c>
      <c r="V53" s="16">
        <v>5</v>
      </c>
      <c r="W53" s="16">
        <v>3</v>
      </c>
      <c r="X53" s="16">
        <v>1</v>
      </c>
      <c r="Y53" s="16">
        <v>2</v>
      </c>
      <c r="Z53" s="16">
        <v>3</v>
      </c>
      <c r="AA53" s="16">
        <v>3</v>
      </c>
      <c r="AB53" s="13">
        <f t="shared" si="7"/>
        <v>59</v>
      </c>
      <c r="AC53" s="13"/>
    </row>
    <row r="54" ht="108" spans="1:29">
      <c r="A54" s="15"/>
      <c r="B54" s="10" t="s">
        <v>245</v>
      </c>
      <c r="C54" s="11" t="s">
        <v>246</v>
      </c>
      <c r="D54" s="16">
        <v>5</v>
      </c>
      <c r="E54" s="16">
        <v>5</v>
      </c>
      <c r="F54" s="16">
        <v>5</v>
      </c>
      <c r="G54" s="16">
        <v>5</v>
      </c>
      <c r="H54" s="16">
        <v>5</v>
      </c>
      <c r="I54" s="16">
        <v>5</v>
      </c>
      <c r="J54" s="16">
        <v>5</v>
      </c>
      <c r="K54" s="13">
        <f t="shared" si="6"/>
        <v>35</v>
      </c>
      <c r="L54" s="16">
        <v>5</v>
      </c>
      <c r="M54" s="16">
        <v>4</v>
      </c>
      <c r="N54" s="16">
        <v>3</v>
      </c>
      <c r="O54" s="16">
        <v>4</v>
      </c>
      <c r="P54" s="16">
        <v>1</v>
      </c>
      <c r="Q54" s="16">
        <v>4</v>
      </c>
      <c r="R54" s="16">
        <v>4</v>
      </c>
      <c r="S54" s="16">
        <v>5</v>
      </c>
      <c r="T54" s="16">
        <v>5</v>
      </c>
      <c r="U54" s="16">
        <v>5</v>
      </c>
      <c r="V54" s="16">
        <v>5</v>
      </c>
      <c r="W54" s="16">
        <v>3</v>
      </c>
      <c r="X54" s="16">
        <v>2</v>
      </c>
      <c r="Y54" s="16">
        <v>3</v>
      </c>
      <c r="Z54" s="16">
        <v>3</v>
      </c>
      <c r="AA54" s="16">
        <v>4</v>
      </c>
      <c r="AB54" s="13">
        <f t="shared" si="7"/>
        <v>60</v>
      </c>
      <c r="AC54" s="14"/>
    </row>
    <row r="55" ht="121.5" spans="1:29">
      <c r="A55" s="15"/>
      <c r="B55" s="10" t="s">
        <v>247</v>
      </c>
      <c r="C55" s="11" t="s">
        <v>248</v>
      </c>
      <c r="D55" s="16">
        <v>5</v>
      </c>
      <c r="E55" s="16">
        <v>4</v>
      </c>
      <c r="F55" s="16">
        <v>5</v>
      </c>
      <c r="G55" s="16">
        <v>5</v>
      </c>
      <c r="H55" s="16">
        <v>5</v>
      </c>
      <c r="I55" s="16">
        <v>5</v>
      </c>
      <c r="J55" s="16">
        <v>4</v>
      </c>
      <c r="K55" s="13">
        <f t="shared" si="6"/>
        <v>33</v>
      </c>
      <c r="L55" s="16">
        <v>5</v>
      </c>
      <c r="M55" s="16">
        <v>4</v>
      </c>
      <c r="N55" s="16">
        <v>3</v>
      </c>
      <c r="O55" s="16">
        <v>4</v>
      </c>
      <c r="P55" s="16">
        <v>1</v>
      </c>
      <c r="Q55" s="16">
        <v>4</v>
      </c>
      <c r="R55" s="16">
        <v>4</v>
      </c>
      <c r="S55" s="16">
        <v>5</v>
      </c>
      <c r="T55" s="16">
        <v>5</v>
      </c>
      <c r="U55" s="16">
        <v>5</v>
      </c>
      <c r="V55" s="16">
        <v>5</v>
      </c>
      <c r="W55" s="16">
        <v>4</v>
      </c>
      <c r="X55" s="16">
        <v>2</v>
      </c>
      <c r="Y55" s="16">
        <v>3</v>
      </c>
      <c r="Z55" s="16">
        <v>3</v>
      </c>
      <c r="AA55" s="16">
        <v>4</v>
      </c>
      <c r="AB55" s="13">
        <f t="shared" si="7"/>
        <v>61</v>
      </c>
      <c r="AC55" s="14"/>
    </row>
    <row r="56" ht="162" spans="1:29">
      <c r="A56" s="15"/>
      <c r="B56" s="10" t="s">
        <v>249</v>
      </c>
      <c r="C56" s="11" t="s">
        <v>250</v>
      </c>
      <c r="D56" s="16">
        <v>5</v>
      </c>
      <c r="E56" s="16">
        <v>4</v>
      </c>
      <c r="F56" s="16">
        <v>5</v>
      </c>
      <c r="G56" s="16">
        <v>5</v>
      </c>
      <c r="H56" s="16">
        <v>5</v>
      </c>
      <c r="I56" s="16">
        <v>5</v>
      </c>
      <c r="J56" s="16">
        <v>4</v>
      </c>
      <c r="K56" s="13">
        <f t="shared" si="6"/>
        <v>33</v>
      </c>
      <c r="L56" s="16">
        <v>5</v>
      </c>
      <c r="M56" s="16">
        <v>4</v>
      </c>
      <c r="N56" s="16">
        <v>3</v>
      </c>
      <c r="O56" s="16">
        <v>4</v>
      </c>
      <c r="P56" s="16">
        <v>1</v>
      </c>
      <c r="Q56" s="16">
        <v>4</v>
      </c>
      <c r="R56" s="16">
        <v>4</v>
      </c>
      <c r="S56" s="16">
        <v>5</v>
      </c>
      <c r="T56" s="16">
        <v>5</v>
      </c>
      <c r="U56" s="16">
        <v>5</v>
      </c>
      <c r="V56" s="16">
        <v>5</v>
      </c>
      <c r="W56" s="16">
        <v>4</v>
      </c>
      <c r="X56" s="16">
        <v>2</v>
      </c>
      <c r="Y56" s="16">
        <v>4</v>
      </c>
      <c r="Z56" s="16">
        <v>3</v>
      </c>
      <c r="AA56" s="16">
        <v>4</v>
      </c>
      <c r="AB56" s="13">
        <f t="shared" si="7"/>
        <v>62</v>
      </c>
      <c r="AC56" s="14"/>
    </row>
    <row r="57" ht="135" spans="1:29">
      <c r="A57" s="15"/>
      <c r="B57" s="10" t="s">
        <v>251</v>
      </c>
      <c r="C57" s="11" t="s">
        <v>252</v>
      </c>
      <c r="D57" s="16">
        <v>5</v>
      </c>
      <c r="E57" s="16">
        <v>5</v>
      </c>
      <c r="F57" s="16">
        <v>5</v>
      </c>
      <c r="G57" s="16">
        <v>5</v>
      </c>
      <c r="H57" s="16">
        <v>5</v>
      </c>
      <c r="I57" s="16">
        <v>5</v>
      </c>
      <c r="J57" s="16">
        <v>5</v>
      </c>
      <c r="K57" s="13">
        <f t="shared" si="6"/>
        <v>35</v>
      </c>
      <c r="L57" s="16">
        <v>5</v>
      </c>
      <c r="M57" s="16">
        <v>4</v>
      </c>
      <c r="N57" s="16">
        <v>3</v>
      </c>
      <c r="O57" s="16">
        <v>4</v>
      </c>
      <c r="P57" s="16">
        <v>1</v>
      </c>
      <c r="Q57" s="16">
        <v>4</v>
      </c>
      <c r="R57" s="16">
        <v>4</v>
      </c>
      <c r="S57" s="16">
        <v>5</v>
      </c>
      <c r="T57" s="16">
        <v>5</v>
      </c>
      <c r="U57" s="16">
        <v>5</v>
      </c>
      <c r="V57" s="16">
        <v>5</v>
      </c>
      <c r="W57" s="16">
        <v>3</v>
      </c>
      <c r="X57" s="16">
        <v>2</v>
      </c>
      <c r="Y57" s="16">
        <v>4</v>
      </c>
      <c r="Z57" s="16">
        <v>3</v>
      </c>
      <c r="AA57" s="16">
        <v>3</v>
      </c>
      <c r="AB57" s="13">
        <f t="shared" si="7"/>
        <v>60</v>
      </c>
      <c r="AC57" s="14"/>
    </row>
    <row r="58" ht="108" spans="1:29">
      <c r="A58" s="15"/>
      <c r="B58" s="10" t="s">
        <v>253</v>
      </c>
      <c r="C58" s="11" t="s">
        <v>254</v>
      </c>
      <c r="D58" s="16">
        <v>5</v>
      </c>
      <c r="E58" s="16">
        <v>4</v>
      </c>
      <c r="F58" s="16">
        <v>5</v>
      </c>
      <c r="G58" s="16">
        <v>5</v>
      </c>
      <c r="H58" s="16">
        <v>5</v>
      </c>
      <c r="I58" s="16">
        <v>5</v>
      </c>
      <c r="J58" s="16">
        <v>4</v>
      </c>
      <c r="K58" s="13">
        <f t="shared" si="6"/>
        <v>33</v>
      </c>
      <c r="L58" s="16">
        <v>5</v>
      </c>
      <c r="M58" s="16">
        <v>4</v>
      </c>
      <c r="N58" s="16">
        <v>3</v>
      </c>
      <c r="O58" s="16">
        <v>4</v>
      </c>
      <c r="P58" s="16">
        <v>1</v>
      </c>
      <c r="Q58" s="16">
        <v>4</v>
      </c>
      <c r="R58" s="16">
        <v>4</v>
      </c>
      <c r="S58" s="16">
        <v>5</v>
      </c>
      <c r="T58" s="16">
        <v>5</v>
      </c>
      <c r="U58" s="16">
        <v>5</v>
      </c>
      <c r="V58" s="16">
        <v>5</v>
      </c>
      <c r="W58" s="16">
        <v>4</v>
      </c>
      <c r="X58" s="16">
        <v>2</v>
      </c>
      <c r="Y58" s="16">
        <v>4</v>
      </c>
      <c r="Z58" s="16">
        <v>3</v>
      </c>
      <c r="AA58" s="16">
        <v>4</v>
      </c>
      <c r="AB58" s="13">
        <f t="shared" si="7"/>
        <v>62</v>
      </c>
      <c r="AC58" s="14"/>
    </row>
    <row r="59" spans="1:29">
      <c r="D59">
        <f>AVERAGE(D34:D58)</f>
        <v>5</v>
      </c>
      <c r="E59">
        <f t="shared" ref="E59:AB59" si="8">AVERAGE(E34:E58)</f>
        <v>4.88</v>
      </c>
      <c r="F59">
        <f t="shared" si="8"/>
        <v>4.76</v>
      </c>
      <c r="G59">
        <f t="shared" si="8"/>
        <v>5</v>
      </c>
      <c r="H59">
        <f t="shared" si="8"/>
        <v>5</v>
      </c>
      <c r="I59">
        <f t="shared" si="8"/>
        <v>5</v>
      </c>
      <c r="J59">
        <f t="shared" si="8"/>
        <v>4.88</v>
      </c>
      <c r="K59">
        <f t="shared" si="8"/>
        <v>34.52</v>
      </c>
      <c r="L59">
        <f t="shared" si="8"/>
        <v>5</v>
      </c>
      <c r="M59">
        <f t="shared" si="8"/>
        <v>4.56</v>
      </c>
      <c r="N59">
        <f t="shared" si="8"/>
        <v>2.92</v>
      </c>
      <c r="O59">
        <f t="shared" si="8"/>
        <v>4.56</v>
      </c>
      <c r="P59">
        <f t="shared" si="8"/>
        <v>2.4</v>
      </c>
      <c r="Q59">
        <f t="shared" si="8"/>
        <v>3.96</v>
      </c>
      <c r="R59">
        <f t="shared" si="8"/>
        <v>4.2</v>
      </c>
      <c r="S59">
        <f t="shared" si="8"/>
        <v>5</v>
      </c>
      <c r="T59">
        <f t="shared" si="8"/>
        <v>5</v>
      </c>
      <c r="U59">
        <f t="shared" si="8"/>
        <v>4.96</v>
      </c>
      <c r="V59">
        <f t="shared" si="8"/>
        <v>4.96</v>
      </c>
      <c r="W59">
        <f t="shared" si="8"/>
        <v>3.96</v>
      </c>
      <c r="X59">
        <f t="shared" si="8"/>
        <v>2.64</v>
      </c>
      <c r="Y59">
        <f t="shared" si="8"/>
        <v>3.76</v>
      </c>
      <c r="Z59">
        <f t="shared" si="8"/>
        <v>3</v>
      </c>
      <c r="AA59">
        <f t="shared" si="8"/>
        <v>3.88</v>
      </c>
      <c r="AB59">
        <f t="shared" si="8"/>
        <v>64.76</v>
      </c>
    </row>
    <row r="61" ht="135" spans="1:29">
      <c r="A61" s="21" t="s">
        <v>294</v>
      </c>
      <c r="B61" s="18" t="s">
        <v>185</v>
      </c>
      <c r="C61" s="11" t="s">
        <v>186</v>
      </c>
      <c r="D61" s="12">
        <v>5</v>
      </c>
      <c r="E61" s="12">
        <v>5</v>
      </c>
      <c r="F61" s="12">
        <v>5</v>
      </c>
      <c r="G61" s="12">
        <v>5</v>
      </c>
      <c r="H61" s="12">
        <v>5</v>
      </c>
      <c r="I61" s="12">
        <v>5</v>
      </c>
      <c r="J61" s="12">
        <v>5</v>
      </c>
      <c r="K61" s="13">
        <f t="shared" ref="K61:K78" si="9">SUM(D61:J61)</f>
        <v>35</v>
      </c>
      <c r="L61" s="12">
        <v>5</v>
      </c>
      <c r="M61" s="12">
        <v>5</v>
      </c>
      <c r="N61" s="12">
        <v>2</v>
      </c>
      <c r="O61" s="12">
        <v>5</v>
      </c>
      <c r="P61" s="12">
        <v>3</v>
      </c>
      <c r="Q61" s="12">
        <v>5</v>
      </c>
      <c r="R61" s="12">
        <v>4</v>
      </c>
      <c r="S61" s="12">
        <v>5</v>
      </c>
      <c r="T61" s="12">
        <v>5</v>
      </c>
      <c r="U61" s="12">
        <v>5</v>
      </c>
      <c r="V61" s="12">
        <v>5</v>
      </c>
      <c r="W61" s="12">
        <v>4</v>
      </c>
      <c r="X61" s="12">
        <v>3</v>
      </c>
      <c r="Y61" s="12">
        <v>4</v>
      </c>
      <c r="Z61" s="12">
        <v>3</v>
      </c>
      <c r="AA61" s="12">
        <v>4</v>
      </c>
      <c r="AB61" s="13">
        <f t="shared" ref="AB61:AB78" si="10">SUM(L61:AA61)</f>
        <v>67</v>
      </c>
      <c r="AC61" s="14"/>
    </row>
    <row r="62" ht="135" spans="1:29">
      <c r="A62" s="21"/>
      <c r="B62" s="18" t="s">
        <v>187</v>
      </c>
      <c r="C62" s="11" t="s">
        <v>188</v>
      </c>
      <c r="D62" s="12">
        <v>5</v>
      </c>
      <c r="E62" s="12">
        <v>5</v>
      </c>
      <c r="F62" s="12">
        <v>5</v>
      </c>
      <c r="G62" s="12">
        <v>5</v>
      </c>
      <c r="H62" s="12">
        <v>5</v>
      </c>
      <c r="I62" s="12">
        <v>5</v>
      </c>
      <c r="J62" s="12">
        <v>5</v>
      </c>
      <c r="K62" s="13">
        <f t="shared" si="9"/>
        <v>35</v>
      </c>
      <c r="L62" s="12">
        <v>5</v>
      </c>
      <c r="M62" s="12">
        <v>5</v>
      </c>
      <c r="N62" s="12">
        <v>3</v>
      </c>
      <c r="O62" s="12">
        <v>4</v>
      </c>
      <c r="P62" s="12">
        <v>3</v>
      </c>
      <c r="Q62" s="12">
        <v>5</v>
      </c>
      <c r="R62" s="12">
        <v>4</v>
      </c>
      <c r="S62" s="12">
        <v>5</v>
      </c>
      <c r="T62" s="12">
        <v>5</v>
      </c>
      <c r="U62" s="12">
        <v>5</v>
      </c>
      <c r="V62" s="12">
        <v>5</v>
      </c>
      <c r="W62" s="12">
        <v>4</v>
      </c>
      <c r="X62" s="12">
        <v>3</v>
      </c>
      <c r="Y62" s="12">
        <v>4</v>
      </c>
      <c r="Z62" s="12">
        <v>3</v>
      </c>
      <c r="AA62" s="12">
        <v>4</v>
      </c>
      <c r="AB62" s="13">
        <f t="shared" si="10"/>
        <v>67</v>
      </c>
      <c r="AC62" s="14"/>
    </row>
    <row r="63" ht="148.5" spans="1:29">
      <c r="A63" s="21"/>
      <c r="B63" s="18" t="s">
        <v>189</v>
      </c>
      <c r="C63" s="11" t="s">
        <v>85</v>
      </c>
      <c r="D63" s="12">
        <v>5</v>
      </c>
      <c r="E63" s="12">
        <v>5</v>
      </c>
      <c r="F63" s="12">
        <v>5</v>
      </c>
      <c r="G63" s="12">
        <v>5</v>
      </c>
      <c r="H63" s="12">
        <v>5</v>
      </c>
      <c r="I63" s="12">
        <v>5</v>
      </c>
      <c r="J63" s="12">
        <v>5</v>
      </c>
      <c r="K63" s="13">
        <f t="shared" si="9"/>
        <v>35</v>
      </c>
      <c r="L63" s="12">
        <v>5</v>
      </c>
      <c r="M63" s="12">
        <v>5</v>
      </c>
      <c r="N63" s="12">
        <v>2</v>
      </c>
      <c r="O63" s="12">
        <v>4</v>
      </c>
      <c r="P63" s="12">
        <v>3</v>
      </c>
      <c r="Q63" s="12">
        <v>5</v>
      </c>
      <c r="R63" s="12">
        <v>4</v>
      </c>
      <c r="S63" s="12">
        <v>5</v>
      </c>
      <c r="T63" s="12">
        <v>5</v>
      </c>
      <c r="U63" s="12">
        <v>5</v>
      </c>
      <c r="V63" s="12">
        <v>5</v>
      </c>
      <c r="W63" s="12">
        <v>4</v>
      </c>
      <c r="X63" s="12">
        <v>2</v>
      </c>
      <c r="Y63" s="12">
        <v>4</v>
      </c>
      <c r="Z63" s="12">
        <v>3</v>
      </c>
      <c r="AA63" s="12">
        <v>4</v>
      </c>
      <c r="AB63" s="13">
        <f t="shared" si="10"/>
        <v>65</v>
      </c>
      <c r="AC63" s="14"/>
    </row>
    <row r="64" ht="162" spans="1:29">
      <c r="A64" s="21"/>
      <c r="B64" s="18" t="s">
        <v>190</v>
      </c>
      <c r="C64" s="11" t="s">
        <v>191</v>
      </c>
      <c r="D64" s="12">
        <v>5</v>
      </c>
      <c r="E64" s="12">
        <v>5</v>
      </c>
      <c r="F64" s="12">
        <v>4</v>
      </c>
      <c r="G64" s="12">
        <v>5</v>
      </c>
      <c r="H64" s="12">
        <v>5</v>
      </c>
      <c r="I64" s="12">
        <v>5</v>
      </c>
      <c r="J64" s="12">
        <v>4</v>
      </c>
      <c r="K64" s="13">
        <f t="shared" si="9"/>
        <v>33</v>
      </c>
      <c r="L64" s="12">
        <v>5</v>
      </c>
      <c r="M64" s="12">
        <v>5</v>
      </c>
      <c r="N64" s="12">
        <v>2</v>
      </c>
      <c r="O64" s="12">
        <v>5</v>
      </c>
      <c r="P64" s="12">
        <v>3</v>
      </c>
      <c r="Q64" s="12">
        <v>5</v>
      </c>
      <c r="R64" s="12">
        <v>4</v>
      </c>
      <c r="S64" s="12">
        <v>5</v>
      </c>
      <c r="T64" s="12">
        <v>5</v>
      </c>
      <c r="U64" s="12">
        <v>5</v>
      </c>
      <c r="V64" s="12">
        <v>5</v>
      </c>
      <c r="W64" s="12">
        <v>4</v>
      </c>
      <c r="X64" s="12">
        <v>2</v>
      </c>
      <c r="Y64" s="12">
        <v>4</v>
      </c>
      <c r="Z64" s="12">
        <v>3</v>
      </c>
      <c r="AA64" s="12">
        <v>4</v>
      </c>
      <c r="AB64" s="13">
        <f t="shared" si="10"/>
        <v>66</v>
      </c>
      <c r="AC64" s="14"/>
    </row>
    <row r="65" ht="175.5" spans="1:29">
      <c r="A65" s="21"/>
      <c r="B65" s="18" t="s">
        <v>192</v>
      </c>
      <c r="C65" s="11" t="s">
        <v>193</v>
      </c>
      <c r="D65" s="12">
        <v>5</v>
      </c>
      <c r="E65" s="12">
        <v>5</v>
      </c>
      <c r="F65" s="12">
        <v>4</v>
      </c>
      <c r="G65" s="12">
        <v>5</v>
      </c>
      <c r="H65" s="12">
        <v>5</v>
      </c>
      <c r="I65" s="12">
        <v>5</v>
      </c>
      <c r="J65" s="12">
        <v>5</v>
      </c>
      <c r="K65" s="13">
        <f t="shared" si="9"/>
        <v>34</v>
      </c>
      <c r="L65" s="12">
        <v>5</v>
      </c>
      <c r="M65" s="12">
        <v>5</v>
      </c>
      <c r="N65" s="12">
        <v>2</v>
      </c>
      <c r="O65" s="12">
        <v>5</v>
      </c>
      <c r="P65" s="12">
        <v>3</v>
      </c>
      <c r="Q65" s="12">
        <v>5</v>
      </c>
      <c r="R65" s="12">
        <v>4</v>
      </c>
      <c r="S65" s="12">
        <v>5</v>
      </c>
      <c r="T65" s="12">
        <v>5</v>
      </c>
      <c r="U65" s="12">
        <v>5</v>
      </c>
      <c r="V65" s="12">
        <v>5</v>
      </c>
      <c r="W65" s="12">
        <v>4</v>
      </c>
      <c r="X65" s="12">
        <v>2</v>
      </c>
      <c r="Y65" s="12">
        <v>4</v>
      </c>
      <c r="Z65" s="12">
        <v>3</v>
      </c>
      <c r="AA65" s="12">
        <v>4</v>
      </c>
      <c r="AB65" s="13">
        <f t="shared" si="10"/>
        <v>66</v>
      </c>
      <c r="AC65" s="14"/>
    </row>
    <row r="66" ht="189" spans="1:29">
      <c r="A66" s="21"/>
      <c r="B66" s="18" t="s">
        <v>194</v>
      </c>
      <c r="C66" s="11" t="s">
        <v>195</v>
      </c>
      <c r="D66" s="12">
        <v>5</v>
      </c>
      <c r="E66" s="12">
        <v>5</v>
      </c>
      <c r="F66" s="12">
        <v>4</v>
      </c>
      <c r="G66" s="12">
        <v>5</v>
      </c>
      <c r="H66" s="12">
        <v>5</v>
      </c>
      <c r="I66" s="12">
        <v>5</v>
      </c>
      <c r="J66" s="12">
        <v>4</v>
      </c>
      <c r="K66" s="13">
        <f t="shared" si="9"/>
        <v>33</v>
      </c>
      <c r="L66" s="12">
        <v>5</v>
      </c>
      <c r="M66" s="12">
        <v>5</v>
      </c>
      <c r="N66" s="12">
        <v>3</v>
      </c>
      <c r="O66" s="12">
        <v>5</v>
      </c>
      <c r="P66" s="12">
        <v>3</v>
      </c>
      <c r="Q66" s="12">
        <v>5</v>
      </c>
      <c r="R66" s="12">
        <v>4</v>
      </c>
      <c r="S66" s="12">
        <v>5</v>
      </c>
      <c r="T66" s="12">
        <v>5</v>
      </c>
      <c r="U66" s="12">
        <v>5</v>
      </c>
      <c r="V66" s="12">
        <v>5</v>
      </c>
      <c r="W66" s="12">
        <v>4</v>
      </c>
      <c r="X66" s="12">
        <v>3</v>
      </c>
      <c r="Y66" s="12">
        <v>4</v>
      </c>
      <c r="Z66" s="12">
        <v>3</v>
      </c>
      <c r="AA66" s="12">
        <v>4</v>
      </c>
      <c r="AB66" s="13">
        <f t="shared" si="10"/>
        <v>68</v>
      </c>
      <c r="AC66" s="14"/>
    </row>
    <row r="67" ht="157" customHeight="1" spans="1:29">
      <c r="A67" s="21"/>
      <c r="B67" s="18" t="s">
        <v>196</v>
      </c>
      <c r="C67" s="11" t="s">
        <v>197</v>
      </c>
      <c r="D67" s="12">
        <v>5</v>
      </c>
      <c r="E67" s="12">
        <v>5</v>
      </c>
      <c r="F67" s="12">
        <v>4</v>
      </c>
      <c r="G67" s="12">
        <v>5</v>
      </c>
      <c r="H67" s="12">
        <v>5</v>
      </c>
      <c r="I67" s="12">
        <v>5</v>
      </c>
      <c r="J67" s="12">
        <v>5</v>
      </c>
      <c r="K67" s="13">
        <f t="shared" si="9"/>
        <v>34</v>
      </c>
      <c r="L67" s="12">
        <v>5</v>
      </c>
      <c r="M67" s="12">
        <v>5</v>
      </c>
      <c r="N67" s="12">
        <v>3</v>
      </c>
      <c r="O67" s="12">
        <v>5</v>
      </c>
      <c r="P67" s="12">
        <v>3</v>
      </c>
      <c r="Q67" s="12">
        <v>5</v>
      </c>
      <c r="R67" s="12">
        <v>4</v>
      </c>
      <c r="S67" s="12">
        <v>5</v>
      </c>
      <c r="T67" s="12">
        <v>5</v>
      </c>
      <c r="U67" s="12">
        <v>5</v>
      </c>
      <c r="V67" s="12">
        <v>5</v>
      </c>
      <c r="W67" s="12">
        <v>4</v>
      </c>
      <c r="X67" s="12">
        <v>3</v>
      </c>
      <c r="Y67" s="12">
        <v>4</v>
      </c>
      <c r="Z67" s="12">
        <v>3</v>
      </c>
      <c r="AA67" s="12">
        <v>4</v>
      </c>
      <c r="AB67" s="13">
        <f t="shared" si="10"/>
        <v>68</v>
      </c>
      <c r="AC67" s="14"/>
    </row>
    <row r="68" ht="216" spans="1:29">
      <c r="A68" s="21"/>
      <c r="B68" s="18" t="s">
        <v>198</v>
      </c>
      <c r="C68" s="11" t="s">
        <v>199</v>
      </c>
      <c r="D68" s="12">
        <v>5</v>
      </c>
      <c r="E68" s="12">
        <v>5</v>
      </c>
      <c r="F68" s="12">
        <v>4</v>
      </c>
      <c r="G68" s="12">
        <v>5</v>
      </c>
      <c r="H68" s="12">
        <v>5</v>
      </c>
      <c r="I68" s="12">
        <v>5</v>
      </c>
      <c r="J68" s="12">
        <v>5</v>
      </c>
      <c r="K68" s="13">
        <f t="shared" si="9"/>
        <v>34</v>
      </c>
      <c r="L68" s="12">
        <v>5</v>
      </c>
      <c r="M68" s="12">
        <v>5</v>
      </c>
      <c r="N68" s="12">
        <v>3</v>
      </c>
      <c r="O68" s="12">
        <v>5</v>
      </c>
      <c r="P68" s="12">
        <v>3</v>
      </c>
      <c r="Q68" s="12">
        <v>5</v>
      </c>
      <c r="R68" s="12">
        <v>4</v>
      </c>
      <c r="S68" s="12">
        <v>5</v>
      </c>
      <c r="T68" s="12">
        <v>5</v>
      </c>
      <c r="U68" s="12">
        <v>5</v>
      </c>
      <c r="V68" s="12">
        <v>5</v>
      </c>
      <c r="W68" s="12">
        <v>4</v>
      </c>
      <c r="X68" s="12">
        <v>3</v>
      </c>
      <c r="Y68" s="12">
        <v>4</v>
      </c>
      <c r="Z68" s="12">
        <v>3</v>
      </c>
      <c r="AA68" s="12">
        <v>4</v>
      </c>
      <c r="AB68" s="13">
        <f t="shared" si="10"/>
        <v>68</v>
      </c>
      <c r="AC68" s="14"/>
    </row>
    <row r="69" ht="162" spans="1:29">
      <c r="A69" s="21"/>
      <c r="B69" s="18" t="s">
        <v>200</v>
      </c>
      <c r="C69" s="11" t="s">
        <v>201</v>
      </c>
      <c r="D69" s="12">
        <v>5</v>
      </c>
      <c r="E69" s="12">
        <v>5</v>
      </c>
      <c r="F69" s="12">
        <v>5</v>
      </c>
      <c r="G69" s="12">
        <v>5</v>
      </c>
      <c r="H69" s="12">
        <v>5</v>
      </c>
      <c r="I69" s="12">
        <v>5</v>
      </c>
      <c r="J69" s="12">
        <v>5</v>
      </c>
      <c r="K69" s="13">
        <f t="shared" si="9"/>
        <v>35</v>
      </c>
      <c r="L69" s="12">
        <v>5</v>
      </c>
      <c r="M69" s="12">
        <v>5</v>
      </c>
      <c r="N69" s="12">
        <v>2</v>
      </c>
      <c r="O69" s="12">
        <v>5</v>
      </c>
      <c r="P69" s="12">
        <v>3</v>
      </c>
      <c r="Q69" s="12">
        <v>5</v>
      </c>
      <c r="R69" s="12">
        <v>4</v>
      </c>
      <c r="S69" s="12">
        <v>5</v>
      </c>
      <c r="T69" s="12">
        <v>5</v>
      </c>
      <c r="U69" s="12">
        <v>5</v>
      </c>
      <c r="V69" s="12">
        <v>5</v>
      </c>
      <c r="W69" s="12">
        <v>4</v>
      </c>
      <c r="X69" s="12">
        <v>4</v>
      </c>
      <c r="Y69" s="12">
        <v>4</v>
      </c>
      <c r="Z69" s="12">
        <v>3</v>
      </c>
      <c r="AA69" s="12">
        <v>4</v>
      </c>
      <c r="AB69" s="13">
        <f t="shared" si="10"/>
        <v>68</v>
      </c>
      <c r="AC69" s="14"/>
    </row>
    <row r="70" ht="148.5" spans="1:29">
      <c r="A70" s="21"/>
      <c r="B70" s="18" t="s">
        <v>202</v>
      </c>
      <c r="C70" s="11" t="s">
        <v>203</v>
      </c>
      <c r="D70" s="12">
        <v>5</v>
      </c>
      <c r="E70" s="12">
        <v>5</v>
      </c>
      <c r="F70" s="12">
        <v>5</v>
      </c>
      <c r="G70" s="12">
        <v>5</v>
      </c>
      <c r="H70" s="12">
        <v>5</v>
      </c>
      <c r="I70" s="12">
        <v>5</v>
      </c>
      <c r="J70" s="12">
        <v>5</v>
      </c>
      <c r="K70" s="13">
        <f t="shared" si="9"/>
        <v>35</v>
      </c>
      <c r="L70" s="12">
        <v>5</v>
      </c>
      <c r="M70" s="12">
        <v>5</v>
      </c>
      <c r="N70" s="12">
        <v>2</v>
      </c>
      <c r="O70" s="12">
        <v>5</v>
      </c>
      <c r="P70" s="12">
        <v>3</v>
      </c>
      <c r="Q70" s="12">
        <v>5</v>
      </c>
      <c r="R70" s="12">
        <v>4</v>
      </c>
      <c r="S70" s="12">
        <v>5</v>
      </c>
      <c r="T70" s="12">
        <v>5</v>
      </c>
      <c r="U70" s="12">
        <v>5</v>
      </c>
      <c r="V70" s="12">
        <v>5</v>
      </c>
      <c r="W70" s="12">
        <v>4</v>
      </c>
      <c r="X70" s="12">
        <v>4</v>
      </c>
      <c r="Y70" s="12">
        <v>4</v>
      </c>
      <c r="Z70" s="12">
        <v>3</v>
      </c>
      <c r="AA70" s="12">
        <v>4</v>
      </c>
      <c r="AB70" s="13">
        <f t="shared" si="10"/>
        <v>68</v>
      </c>
      <c r="AC70" s="14"/>
    </row>
    <row r="71" ht="177.4" spans="1:29">
      <c r="A71" s="21"/>
      <c r="B71" s="18" t="s">
        <v>204</v>
      </c>
      <c r="C71" s="11" t="s">
        <v>205</v>
      </c>
      <c r="D71" s="12">
        <v>5</v>
      </c>
      <c r="E71" s="12">
        <v>5</v>
      </c>
      <c r="F71" s="12">
        <v>4</v>
      </c>
      <c r="G71" s="12">
        <v>5</v>
      </c>
      <c r="H71" s="12">
        <v>5</v>
      </c>
      <c r="I71" s="12">
        <v>5</v>
      </c>
      <c r="J71" s="12">
        <v>5</v>
      </c>
      <c r="K71" s="13">
        <f t="shared" si="9"/>
        <v>34</v>
      </c>
      <c r="L71" s="12">
        <v>5</v>
      </c>
      <c r="M71" s="12">
        <v>5</v>
      </c>
      <c r="N71" s="12">
        <v>2</v>
      </c>
      <c r="O71" s="12">
        <v>5</v>
      </c>
      <c r="P71" s="12">
        <v>3</v>
      </c>
      <c r="Q71" s="12">
        <v>5</v>
      </c>
      <c r="R71" s="12">
        <v>4</v>
      </c>
      <c r="S71" s="12">
        <v>5</v>
      </c>
      <c r="T71" s="12">
        <v>5</v>
      </c>
      <c r="U71" s="12">
        <v>5</v>
      </c>
      <c r="V71" s="12">
        <v>5</v>
      </c>
      <c r="W71" s="12">
        <v>4</v>
      </c>
      <c r="X71" s="12">
        <v>4</v>
      </c>
      <c r="Y71" s="12">
        <v>4</v>
      </c>
      <c r="Z71" s="12">
        <v>3</v>
      </c>
      <c r="AA71" s="12">
        <v>4</v>
      </c>
      <c r="AB71" s="13">
        <f t="shared" si="10"/>
        <v>68</v>
      </c>
      <c r="AC71" s="14"/>
    </row>
    <row r="72" ht="135" spans="1:29">
      <c r="A72" s="21"/>
      <c r="B72" s="18" t="s">
        <v>206</v>
      </c>
      <c r="C72" s="11" t="s">
        <v>207</v>
      </c>
      <c r="D72" s="12">
        <v>4</v>
      </c>
      <c r="E72" s="12">
        <v>5</v>
      </c>
      <c r="F72" s="12">
        <v>5</v>
      </c>
      <c r="G72" s="12">
        <v>5</v>
      </c>
      <c r="H72" s="12">
        <v>5</v>
      </c>
      <c r="I72" s="12">
        <v>5</v>
      </c>
      <c r="J72" s="12">
        <v>5</v>
      </c>
      <c r="K72" s="13">
        <f t="shared" si="9"/>
        <v>34</v>
      </c>
      <c r="L72" s="12">
        <v>4</v>
      </c>
      <c r="M72" s="12">
        <v>5</v>
      </c>
      <c r="N72" s="12">
        <v>3</v>
      </c>
      <c r="O72" s="12">
        <v>5</v>
      </c>
      <c r="P72" s="12">
        <v>3</v>
      </c>
      <c r="Q72" s="12">
        <v>5</v>
      </c>
      <c r="R72" s="12">
        <v>4</v>
      </c>
      <c r="S72" s="12">
        <v>3</v>
      </c>
      <c r="T72" s="12">
        <v>5</v>
      </c>
      <c r="U72" s="12">
        <v>5</v>
      </c>
      <c r="V72" s="12">
        <v>5</v>
      </c>
      <c r="W72" s="12">
        <v>4</v>
      </c>
      <c r="X72" s="12">
        <v>2</v>
      </c>
      <c r="Y72" s="12">
        <v>4</v>
      </c>
      <c r="Z72" s="12">
        <v>3</v>
      </c>
      <c r="AA72" s="12">
        <v>4</v>
      </c>
      <c r="AB72" s="13">
        <f t="shared" si="10"/>
        <v>64</v>
      </c>
      <c r="AC72" s="14"/>
    </row>
    <row r="73" ht="148.5" spans="1:29">
      <c r="A73" s="21"/>
      <c r="B73" s="18" t="s">
        <v>208</v>
      </c>
      <c r="C73" s="11" t="s">
        <v>209</v>
      </c>
      <c r="D73" s="12">
        <v>4</v>
      </c>
      <c r="E73" s="12">
        <v>5</v>
      </c>
      <c r="F73" s="12">
        <v>5</v>
      </c>
      <c r="G73" s="12">
        <v>5</v>
      </c>
      <c r="H73" s="12">
        <v>5</v>
      </c>
      <c r="I73" s="12">
        <v>5</v>
      </c>
      <c r="J73" s="12">
        <v>5</v>
      </c>
      <c r="K73" s="13">
        <f t="shared" si="9"/>
        <v>34</v>
      </c>
      <c r="L73" s="12">
        <v>4</v>
      </c>
      <c r="M73" s="12">
        <v>5</v>
      </c>
      <c r="N73" s="12">
        <v>3</v>
      </c>
      <c r="O73" s="12">
        <v>5</v>
      </c>
      <c r="P73" s="12">
        <v>3</v>
      </c>
      <c r="Q73" s="12">
        <v>5</v>
      </c>
      <c r="R73" s="12">
        <v>4</v>
      </c>
      <c r="S73" s="12">
        <v>3</v>
      </c>
      <c r="T73" s="12">
        <v>5</v>
      </c>
      <c r="U73" s="12">
        <v>5</v>
      </c>
      <c r="V73" s="12">
        <v>5</v>
      </c>
      <c r="W73" s="12">
        <v>4</v>
      </c>
      <c r="X73" s="12">
        <v>2</v>
      </c>
      <c r="Y73" s="12">
        <v>4</v>
      </c>
      <c r="Z73" s="12">
        <v>3</v>
      </c>
      <c r="AA73" s="12">
        <v>4</v>
      </c>
      <c r="AB73" s="13">
        <f t="shared" si="10"/>
        <v>64</v>
      </c>
      <c r="AC73" s="14"/>
    </row>
    <row r="74" ht="148.5" spans="1:29">
      <c r="A74" s="21"/>
      <c r="B74" s="18" t="s">
        <v>210</v>
      </c>
      <c r="C74" s="11" t="s">
        <v>211</v>
      </c>
      <c r="D74" s="12">
        <v>4</v>
      </c>
      <c r="E74" s="12">
        <v>5</v>
      </c>
      <c r="F74" s="12">
        <v>5</v>
      </c>
      <c r="G74" s="12">
        <v>5</v>
      </c>
      <c r="H74" s="12">
        <v>5</v>
      </c>
      <c r="I74" s="12">
        <v>5</v>
      </c>
      <c r="J74" s="12">
        <v>5</v>
      </c>
      <c r="K74" s="13">
        <f t="shared" si="9"/>
        <v>34</v>
      </c>
      <c r="L74" s="12">
        <v>4</v>
      </c>
      <c r="M74" s="12">
        <v>5</v>
      </c>
      <c r="N74" s="12">
        <v>3</v>
      </c>
      <c r="O74" s="12">
        <v>5</v>
      </c>
      <c r="P74" s="12">
        <v>3</v>
      </c>
      <c r="Q74" s="12">
        <v>5</v>
      </c>
      <c r="R74" s="12">
        <v>4</v>
      </c>
      <c r="S74" s="12">
        <v>3</v>
      </c>
      <c r="T74" s="12">
        <v>5</v>
      </c>
      <c r="U74" s="12">
        <v>5</v>
      </c>
      <c r="V74" s="12">
        <v>5</v>
      </c>
      <c r="W74" s="12">
        <v>4</v>
      </c>
      <c r="X74" s="12">
        <v>2</v>
      </c>
      <c r="Y74" s="12">
        <v>4</v>
      </c>
      <c r="Z74" s="12">
        <v>3</v>
      </c>
      <c r="AA74" s="12">
        <v>4</v>
      </c>
      <c r="AB74" s="13">
        <f t="shared" si="10"/>
        <v>64</v>
      </c>
      <c r="AC74" s="14"/>
    </row>
    <row r="75" ht="197" customHeight="1" spans="1:29">
      <c r="A75" s="15"/>
      <c r="B75" s="10" t="s">
        <v>255</v>
      </c>
      <c r="C75" s="11" t="s">
        <v>256</v>
      </c>
      <c r="D75" s="16">
        <v>5</v>
      </c>
      <c r="E75" s="16">
        <v>5</v>
      </c>
      <c r="F75" s="16">
        <v>5</v>
      </c>
      <c r="G75" s="16">
        <v>5</v>
      </c>
      <c r="H75" s="16">
        <v>5</v>
      </c>
      <c r="I75" s="16">
        <v>5</v>
      </c>
      <c r="J75" s="16">
        <v>5</v>
      </c>
      <c r="K75" s="13">
        <f t="shared" si="9"/>
        <v>35</v>
      </c>
      <c r="L75" s="16">
        <v>4</v>
      </c>
      <c r="M75" s="16">
        <v>4</v>
      </c>
      <c r="N75" s="16">
        <v>3</v>
      </c>
      <c r="O75" s="16">
        <v>5</v>
      </c>
      <c r="P75" s="16">
        <v>2</v>
      </c>
      <c r="Q75" s="16">
        <v>4</v>
      </c>
      <c r="R75" s="16">
        <v>4</v>
      </c>
      <c r="S75" s="16">
        <v>5</v>
      </c>
      <c r="T75" s="16">
        <v>5</v>
      </c>
      <c r="U75" s="16">
        <v>5</v>
      </c>
      <c r="V75" s="16">
        <v>5</v>
      </c>
      <c r="W75" s="16">
        <v>3</v>
      </c>
      <c r="X75" s="16">
        <v>3</v>
      </c>
      <c r="Y75" s="16">
        <v>4</v>
      </c>
      <c r="Z75" s="16">
        <v>3</v>
      </c>
      <c r="AA75" s="16">
        <v>3</v>
      </c>
      <c r="AB75" s="13">
        <f t="shared" si="10"/>
        <v>62</v>
      </c>
      <c r="AC75" s="14"/>
    </row>
    <row r="76" ht="195" customHeight="1" spans="1:29">
      <c r="A76" s="15"/>
      <c r="B76" s="10" t="s">
        <v>257</v>
      </c>
      <c r="C76" s="11" t="s">
        <v>258</v>
      </c>
      <c r="D76" s="16">
        <v>5</v>
      </c>
      <c r="E76" s="16">
        <v>5</v>
      </c>
      <c r="F76" s="16">
        <v>5</v>
      </c>
      <c r="G76" s="16">
        <v>5</v>
      </c>
      <c r="H76" s="16">
        <v>5</v>
      </c>
      <c r="I76" s="16">
        <v>5</v>
      </c>
      <c r="J76" s="16">
        <v>5</v>
      </c>
      <c r="K76" s="13">
        <f t="shared" si="9"/>
        <v>35</v>
      </c>
      <c r="L76" s="16">
        <v>4</v>
      </c>
      <c r="M76" s="16">
        <v>4</v>
      </c>
      <c r="N76" s="16">
        <v>3</v>
      </c>
      <c r="O76" s="16">
        <v>5</v>
      </c>
      <c r="P76" s="16">
        <v>2</v>
      </c>
      <c r="Q76" s="16">
        <v>4</v>
      </c>
      <c r="R76" s="16">
        <v>4</v>
      </c>
      <c r="S76" s="16">
        <v>5</v>
      </c>
      <c r="T76" s="16">
        <v>5</v>
      </c>
      <c r="U76" s="16">
        <v>5</v>
      </c>
      <c r="V76" s="16">
        <v>5</v>
      </c>
      <c r="W76" s="16">
        <v>3</v>
      </c>
      <c r="X76" s="16">
        <v>3</v>
      </c>
      <c r="Y76" s="16">
        <v>4</v>
      </c>
      <c r="Z76" s="16">
        <v>3</v>
      </c>
      <c r="AA76" s="16">
        <v>3</v>
      </c>
      <c r="AB76" s="13">
        <f t="shared" si="10"/>
        <v>62</v>
      </c>
      <c r="AC76" s="14"/>
    </row>
    <row r="77" ht="181" customHeight="1" spans="1:29">
      <c r="A77" s="22"/>
      <c r="B77" s="10" t="s">
        <v>259</v>
      </c>
      <c r="C77" s="11" t="s">
        <v>260</v>
      </c>
      <c r="D77" s="16">
        <v>5</v>
      </c>
      <c r="E77" s="16">
        <v>5</v>
      </c>
      <c r="F77" s="16">
        <v>5</v>
      </c>
      <c r="G77" s="16">
        <v>5</v>
      </c>
      <c r="H77" s="16">
        <v>5</v>
      </c>
      <c r="I77" s="16">
        <v>5</v>
      </c>
      <c r="J77" s="16">
        <v>5</v>
      </c>
      <c r="K77" s="13">
        <f t="shared" si="9"/>
        <v>35</v>
      </c>
      <c r="L77" s="16">
        <v>4</v>
      </c>
      <c r="M77" s="16">
        <v>4</v>
      </c>
      <c r="N77" s="16">
        <v>3</v>
      </c>
      <c r="O77" s="16">
        <v>5</v>
      </c>
      <c r="P77" s="16">
        <v>2</v>
      </c>
      <c r="Q77" s="16">
        <v>5</v>
      </c>
      <c r="R77" s="16">
        <v>4</v>
      </c>
      <c r="S77" s="16">
        <v>5</v>
      </c>
      <c r="T77" s="16">
        <v>5</v>
      </c>
      <c r="U77" s="16">
        <v>5</v>
      </c>
      <c r="V77" s="16">
        <v>5</v>
      </c>
      <c r="W77" s="16">
        <v>3</v>
      </c>
      <c r="X77" s="16">
        <v>3</v>
      </c>
      <c r="Y77" s="16">
        <v>4</v>
      </c>
      <c r="Z77" s="16">
        <v>3</v>
      </c>
      <c r="AA77" s="16">
        <v>3</v>
      </c>
      <c r="AB77" s="13">
        <f t="shared" si="10"/>
        <v>63</v>
      </c>
      <c r="AC77" s="14"/>
    </row>
    <row r="78" ht="162" spans="1:29">
      <c r="A78" s="22"/>
      <c r="B78" s="10" t="s">
        <v>261</v>
      </c>
      <c r="C78" s="11" t="s">
        <v>262</v>
      </c>
      <c r="D78" s="16">
        <v>5</v>
      </c>
      <c r="E78" s="16">
        <v>5</v>
      </c>
      <c r="F78" s="16">
        <v>5</v>
      </c>
      <c r="G78" s="16">
        <v>5</v>
      </c>
      <c r="H78" s="16">
        <v>5</v>
      </c>
      <c r="I78" s="16">
        <v>5</v>
      </c>
      <c r="J78" s="16">
        <v>5</v>
      </c>
      <c r="K78" s="13">
        <f t="shared" si="9"/>
        <v>35</v>
      </c>
      <c r="L78" s="16">
        <v>4</v>
      </c>
      <c r="M78" s="16">
        <v>4</v>
      </c>
      <c r="N78" s="16">
        <v>3</v>
      </c>
      <c r="O78" s="16">
        <v>5</v>
      </c>
      <c r="P78" s="16">
        <v>2</v>
      </c>
      <c r="Q78" s="16">
        <v>5</v>
      </c>
      <c r="R78" s="16">
        <v>4</v>
      </c>
      <c r="S78" s="16">
        <v>5</v>
      </c>
      <c r="T78" s="16">
        <v>5</v>
      </c>
      <c r="U78" s="16">
        <v>5</v>
      </c>
      <c r="V78" s="16">
        <v>5</v>
      </c>
      <c r="W78" s="16">
        <v>3</v>
      </c>
      <c r="X78" s="16">
        <v>3</v>
      </c>
      <c r="Y78" s="16">
        <v>4</v>
      </c>
      <c r="Z78" s="16">
        <v>3</v>
      </c>
      <c r="AA78" s="16">
        <v>3</v>
      </c>
      <c r="AB78" s="13">
        <f t="shared" si="10"/>
        <v>63</v>
      </c>
      <c r="AC78" s="14"/>
    </row>
    <row r="79" spans="1:29">
      <c r="D79">
        <f>AVERAGE(D61:D78)</f>
        <v>4.83333333333333</v>
      </c>
      <c r="E79">
        <f t="shared" ref="E79:AB79" si="11">AVERAGE(E61:E78)</f>
        <v>5</v>
      </c>
      <c r="F79">
        <f t="shared" si="11"/>
        <v>4.66666666666667</v>
      </c>
      <c r="G79">
        <f t="shared" si="11"/>
        <v>5</v>
      </c>
      <c r="H79">
        <f t="shared" si="11"/>
        <v>5</v>
      </c>
      <c r="I79">
        <f t="shared" si="11"/>
        <v>5</v>
      </c>
      <c r="J79">
        <f t="shared" si="11"/>
        <v>4.88888888888889</v>
      </c>
      <c r="K79">
        <f t="shared" si="11"/>
        <v>34.3888888888889</v>
      </c>
      <c r="L79">
        <f t="shared" si="11"/>
        <v>4.61111111111111</v>
      </c>
      <c r="M79">
        <f t="shared" si="11"/>
        <v>4.77777777777778</v>
      </c>
      <c r="N79">
        <f t="shared" si="11"/>
        <v>2.61111111111111</v>
      </c>
      <c r="O79">
        <f t="shared" si="11"/>
        <v>4.88888888888889</v>
      </c>
      <c r="P79">
        <f t="shared" si="11"/>
        <v>2.77777777777778</v>
      </c>
      <c r="Q79">
        <f t="shared" si="11"/>
        <v>4.88888888888889</v>
      </c>
      <c r="R79">
        <f t="shared" si="11"/>
        <v>4</v>
      </c>
      <c r="S79">
        <f t="shared" si="11"/>
        <v>4.66666666666667</v>
      </c>
      <c r="T79">
        <f t="shared" si="11"/>
        <v>5</v>
      </c>
      <c r="U79">
        <f t="shared" si="11"/>
        <v>5</v>
      </c>
      <c r="V79">
        <f t="shared" si="11"/>
        <v>5</v>
      </c>
      <c r="W79">
        <f t="shared" si="11"/>
        <v>3.77777777777778</v>
      </c>
      <c r="X79">
        <f t="shared" si="11"/>
        <v>2.83333333333333</v>
      </c>
      <c r="Y79">
        <f t="shared" si="11"/>
        <v>4</v>
      </c>
      <c r="Z79">
        <f t="shared" si="11"/>
        <v>3</v>
      </c>
      <c r="AA79">
        <f t="shared" si="11"/>
        <v>3.77777777777778</v>
      </c>
      <c r="AB79">
        <f t="shared" si="11"/>
        <v>65.6111111111111</v>
      </c>
    </row>
  </sheetData>
  <mergeCells count="7">
    <mergeCell ref="A1:AB1"/>
    <mergeCell ref="A3:A9"/>
    <mergeCell ref="A10:A12"/>
    <mergeCell ref="A15:A31"/>
    <mergeCell ref="A34:A51"/>
    <mergeCell ref="A52:A58"/>
    <mergeCell ref="A61:A7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P</vt:lpstr>
      <vt:lpstr>M</vt:lpstr>
      <vt:lpstr>M被筛</vt:lpstr>
      <vt:lpstr>图灵测试</vt:lpstr>
      <vt:lpstr>P分题型</vt:lpstr>
      <vt:lpstr>M汇总分题型</vt:lpstr>
      <vt:lpstr>P布鲁姆分类</vt:lpstr>
      <vt:lpstr>M汇总布鲁姆分类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陈亚龙</cp:lastModifiedBy>
  <dcterms:created xsi:type="dcterms:W3CDTF">2026-03-19T06:30:00Z</dcterms:created>
  <dcterms:modified xsi:type="dcterms:W3CDTF">2026-05-26T08:19:23Z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{"Label":"1","ContentProducer":"001191440300708461136T1IVWN","ProduceID":"f47e86244df851ef98791ca3d14eb9fa-20133818830ed7e6917c0a9ee044b248d70ae7c2","ReservedCode1":"{\"Type\":\" TC260PG\",\"Version\":1,\"Bindings\":[{\"Type\":\"soft\",\"AlgID\":\"sm3\",\"Value\":\"de171f4cdb9f6170759d88746cebdae8a5612dc6862eb4382561b80c5a496c0e\"},{\"Type\":\"hash\",\"AlgID\":\"sm3\",\"Value\":\"7b9a6ba4e9d1cfd07664cb53bab16422c8e5ddd5343dd207d596c3512fb11728\"}],\"PubSD\":[{\"Type\":\"DS\",\"AlgID\":\"sm2\",\"TBSData\":{\"Type\":\"Binding\",\"BType\":\"hash\"},\"Signature\":\"3044022073ab591b179e1beade0e39f607daf7e874f6b1364a4778af5bcf269c7cd1b94202202f12f6ac6e447e55bf891ecd4d9a387774b902c8647a155c1d692e8624b880d1\"},{\"Type\":\"PubKey\",\"AlgID\":\"sm2\",\"KeyValue\":\"0407f79b28a17a752b3aae4305c98b48978213832729a2571850b1310b2bc9fe8fee039ccf25ebfeac27502414d9fcef792d777183c98893d226171c2f7a3289a2\"}],\"Extension\":{\"Timestamp\":1773901850,\"KeyVersion\":\"v1-Owd2uMESYLo311\"}}","ContentPropagator":"001191440300708461136T1IVWN","PropagateID":"f47e86244df851ef98791ca3d14eb9fa-20133818830ed7e6917c0a9ee044b248d70ae7c2","ReservedCode2":"{\"Type\":\" TC260PG\",\"Version\":1,\"Bindings\":[{\"Type\":\"soft\",\"AlgID\":\"sm3\",\"Value\":\"de171f4cdb9f6170759d88746cebdae8a5612dc6862eb4382561b80c5a496c0e\"},{\"Type\":\"hash\",\"AlgID\":\"sm3\",\"Value\":\"7b9a6ba4e9d1cfd07664cb53bab16422c8e5ddd5343dd207d596c3512fb11728\"}],\"PubSD\":[{\"Type\":\"DS\",\"AlgID\":\"sm2\",\"TBSData\":{\"Type\":\"Binding\",\"BType\":\"hash\"},\"Signature\":\"3045022100c749e333a2c076a2e544bf10581bb2c868a203a0e9ab70e92c48521d4820ad35022049bac7768b52dfae289b0c5a21daab1d5f09d69c7172312f8cd6313efd89ad2c\"},{\"Type\":\"PubKey\",\"AlgID\":\"sm2\",\"KeyValue\":\"0407f79b28a17a752b3aae4305c98b48978213832729a2571850b1310b2bc9fe8fee039ccf25ebfeac27502414d9fcef792d777183c98893d226171c2f7a3289a2\"}],\"Extension\":{\"Timestamp\":1773901850,\"KeyVersion\":\"v1-Owd2uMESYLo311\"}}"}</vt:lpwstr>
  </property>
  <property fmtid="{D5CDD505-2E9C-101B-9397-08002B2CF9AE}" pid="3" name="ICV">
    <vt:lpwstr>23DACAEA52154058B86AE9C15F03ECBE_13</vt:lpwstr>
  </property>
  <property fmtid="{D5CDD505-2E9C-101B-9397-08002B2CF9AE}" pid="4" name="KSOProductBuildVer">
    <vt:lpwstr>2052-12.1.0.23542</vt:lpwstr>
  </property>
  <property fmtid="{D5CDD505-2E9C-101B-9397-08002B2CF9AE}" pid="5" name="CalculationRule">
    <vt:i4>0</vt:i4>
  </property>
</Properties>
</file>